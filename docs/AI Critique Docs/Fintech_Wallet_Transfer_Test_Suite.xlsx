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Dashboard &amp; Summary" sheetId="2" state="visible" r:id="rId2"/>
  </sheets>
  <definedNames>
    <definedName name="_xlnm._FilterDatabase" localSheetId="0" hidden="1">'Test Cases'!$A$1:$J$77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6"/>
    </font>
    <font>
      <name val="Segoe UI"/>
      <b val="1"/>
      <sz val="10"/>
    </font>
    <font>
      <name val="Segoe UI"/>
      <b val="1"/>
      <color rgb="001F4E79"/>
      <sz val="11"/>
    </font>
    <font>
      <name val="Segoe UI"/>
      <b val="1"/>
      <color rgb="00FFFFFF"/>
      <sz val="12"/>
    </font>
    <font>
      <name val="Segoe UI"/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35" customWidth="1" min="4" max="4"/>
    <col width="30" customWidth="1" min="5" max="5"/>
    <col width="25" customWidth="1" min="6" max="6"/>
    <col width="40" customWidth="1" min="7" max="7"/>
    <col width="40" customWidth="1" min="8" max="8"/>
    <col width="12" customWidth="1" min="9" max="9"/>
    <col width="22" customWidth="1" min="10" max="10"/>
  </cols>
  <sheetData>
    <row r="1" ht="28" customHeight="1">
      <c r="A1" s="1" t="inlineStr">
        <is>
          <t>Test ID</t>
        </is>
      </c>
      <c r="B1" s="1" t="inlineStr">
        <is>
          <t>Requirement Ref</t>
        </is>
      </c>
      <c r="C1" s="1" t="inlineStr">
        <is>
          <t>Module / Area</t>
        </is>
      </c>
      <c r="D1" s="1" t="inlineStr">
        <is>
          <t>Test Scenario</t>
        </is>
      </c>
      <c r="E1" s="1" t="inlineStr">
        <is>
          <t>Preconditions</t>
        </is>
      </c>
      <c r="F1" s="1" t="inlineStr">
        <is>
          <t>Test Data</t>
        </is>
      </c>
      <c r="G1" s="1" t="inlineStr">
        <is>
          <t>Execution Steps</t>
        </is>
      </c>
      <c r="H1" s="1" t="inlineStr">
        <is>
          <t>Expected Result</t>
        </is>
      </c>
      <c r="I1" s="1" t="inlineStr">
        <is>
          <t>Priority</t>
        </is>
      </c>
      <c r="J1" s="1" t="inlineStr">
        <is>
          <t>Test Type</t>
        </is>
      </c>
    </row>
    <row r="2" ht="45" customHeight="1">
      <c r="A2" s="2" t="inlineStr">
        <is>
          <t>TL1-001</t>
        </is>
      </c>
      <c r="B2" s="2" t="inlineStr">
        <is>
          <t>Req 1: Tier 1 Per-Tx Limit</t>
        </is>
      </c>
      <c r="C2" s="3" t="inlineStr">
        <is>
          <t>Tier 1 Limits</t>
        </is>
      </c>
      <c r="D2" s="3" t="inlineStr">
        <is>
          <t>Boundary: Minimum valid transfer amount (1.00)</t>
        </is>
      </c>
      <c r="E2" s="3" t="inlineStr">
        <is>
          <t>Tier 1 account active, balance = 10,000</t>
        </is>
      </c>
      <c r="F2" s="3" t="inlineStr">
        <is>
          <t>Recipient Wallet: W-102, Amount = 1.00</t>
        </is>
      </c>
      <c r="G2" s="3" t="inlineStr">
        <is>
          <t>1. Initiate wallet transfer.
2. Enter amount 1.00.
3. Confirm PIN and submit.</t>
        </is>
      </c>
      <c r="H2" s="3" t="inlineStr">
        <is>
          <t>Transfer completes successfully. Balance deducted by 1.00. Remaining daily limit updated to 49,999.00.</t>
        </is>
      </c>
      <c r="I2" s="2" t="inlineStr">
        <is>
          <t>High</t>
        </is>
      </c>
      <c r="J2" s="3" t="inlineStr">
        <is>
          <t>Functional, Boundary</t>
        </is>
      </c>
    </row>
    <row r="3" ht="45" customHeight="1">
      <c r="A3" s="4" t="inlineStr">
        <is>
          <t>TL1-002</t>
        </is>
      </c>
      <c r="B3" s="4" t="inlineStr">
        <is>
          <t>Req 1: Tier 1 Per-Tx Limit</t>
        </is>
      </c>
      <c r="C3" s="5" t="inlineStr">
        <is>
          <t>Tier 1 Limits</t>
        </is>
      </c>
      <c r="D3" s="5" t="inlineStr">
        <is>
          <t>Boundary: Transfer amount zero (0.00)</t>
        </is>
      </c>
      <c r="E3" s="5" t="inlineStr">
        <is>
          <t>Tier 1 account active, balance = 10,000</t>
        </is>
      </c>
      <c r="F3" s="5" t="inlineStr">
        <is>
          <t>Recipient Wallet: W-102, Amount = 0.00</t>
        </is>
      </c>
      <c r="G3" s="5" t="inlineStr">
        <is>
          <t>1. Initiate transfer.
2. Enter amount 0.00.
3. Attempt to submit.</t>
        </is>
      </c>
      <c r="H3" s="5" t="inlineStr">
        <is>
          <t>Validation error displayed: 'Amount must be greater than zero'. Submit button disabled or transaction blocked.</t>
        </is>
      </c>
      <c r="I3" s="4" t="inlineStr">
        <is>
          <t>Medium</t>
        </is>
      </c>
      <c r="J3" s="5" t="inlineStr">
        <is>
          <t>Negative, UI</t>
        </is>
      </c>
    </row>
    <row r="4" ht="45" customHeight="1">
      <c r="A4" s="2" t="inlineStr">
        <is>
          <t>TL1-003</t>
        </is>
      </c>
      <c r="B4" s="2" t="inlineStr">
        <is>
          <t>Req 1: Tier 1 Per-Tx Limit</t>
        </is>
      </c>
      <c r="C4" s="3" t="inlineStr">
        <is>
          <t>Tier 1 Limits</t>
        </is>
      </c>
      <c r="D4" s="3" t="inlineStr">
        <is>
          <t>Boundary: Negative transfer amount (-100.00)</t>
        </is>
      </c>
      <c r="E4" s="3" t="inlineStr">
        <is>
          <t>Tier 1 account active, balance = 10,000</t>
        </is>
      </c>
      <c r="F4" s="3" t="inlineStr">
        <is>
          <t>Recipient Wallet: W-102, Amount = -100.00</t>
        </is>
      </c>
      <c r="G4" s="3" t="inlineStr">
        <is>
          <t>1. Attempt API transfer request with amount = -100.00.</t>
        </is>
      </c>
      <c r="H4" s="3" t="inlineStr">
        <is>
          <t>API rejects with 400 Bad Request: 'Invalid transfer amount'. No funds debited.</t>
        </is>
      </c>
      <c r="I4" s="2" t="inlineStr">
        <is>
          <t>High</t>
        </is>
      </c>
      <c r="J4" s="3" t="inlineStr">
        <is>
          <t>Negative, API</t>
        </is>
      </c>
    </row>
    <row r="5" ht="45" customHeight="1">
      <c r="A5" s="4" t="inlineStr">
        <is>
          <t>TL1-004</t>
        </is>
      </c>
      <c r="B5" s="4" t="inlineStr">
        <is>
          <t>Req 1: Tier 1 Per-Tx Limit</t>
        </is>
      </c>
      <c r="C5" s="5" t="inlineStr">
        <is>
          <t>Tier 1 Limits</t>
        </is>
      </c>
      <c r="D5" s="5" t="inlineStr">
        <is>
          <t>Boundary: Just below per-transaction limit (19,999.99)</t>
        </is>
      </c>
      <c r="E5" s="5" t="inlineStr">
        <is>
          <t>Tier 1 account active, balance = 30,000</t>
        </is>
      </c>
      <c r="F5" s="5" t="inlineStr">
        <is>
          <t>Recipient Wallet: W-102, Amount = 19,999.99</t>
        </is>
      </c>
      <c r="G5" s="5" t="inlineStr">
        <is>
          <t>1. Initiate transfer.
2. Enter amount 19,999.99.
3. Confirm transfer.</t>
        </is>
      </c>
      <c r="H5" s="5" t="inlineStr">
        <is>
          <t>Transfer succeeds. Balance deducted by 19,999.99. Remaining daily limit = 30,000.01.</t>
        </is>
      </c>
      <c r="I5" s="4" t="inlineStr">
        <is>
          <t>Critical</t>
        </is>
      </c>
      <c r="J5" s="5" t="inlineStr">
        <is>
          <t>Functional, Boundary</t>
        </is>
      </c>
    </row>
    <row r="6" ht="45" customHeight="1">
      <c r="A6" s="2" t="inlineStr">
        <is>
          <t>TL1-005</t>
        </is>
      </c>
      <c r="B6" s="2" t="inlineStr">
        <is>
          <t>Req 1: Tier 1 Per-Tx Limit</t>
        </is>
      </c>
      <c r="C6" s="3" t="inlineStr">
        <is>
          <t>Tier 1 Limits</t>
        </is>
      </c>
      <c r="D6" s="3" t="inlineStr">
        <is>
          <t>Boundary: Exactly at per-transaction limit (20,000.00)</t>
        </is>
      </c>
      <c r="E6" s="3" t="inlineStr">
        <is>
          <t>Tier 1 account active, balance = 30,000</t>
        </is>
      </c>
      <c r="F6" s="3" t="inlineStr">
        <is>
          <t>Recipient Wallet: W-102, Amount = 20,000.00</t>
        </is>
      </c>
      <c r="G6" s="3" t="inlineStr">
        <is>
          <t>1. Initiate transfer.
2. Enter amount 20,000.00.
3. Confirm transfer.</t>
        </is>
      </c>
      <c r="H6" s="3" t="inlineStr">
        <is>
          <t>Transfer succeeds. Balance debited by 20,000.00. Remaining daily limit = 30,000.00.</t>
        </is>
      </c>
      <c r="I6" s="2" t="inlineStr">
        <is>
          <t>Critical</t>
        </is>
      </c>
      <c r="J6" s="3" t="inlineStr">
        <is>
          <t>Functional, Boundary</t>
        </is>
      </c>
    </row>
    <row r="7" ht="45" customHeight="1">
      <c r="A7" s="4" t="inlineStr">
        <is>
          <t>TL1-006</t>
        </is>
      </c>
      <c r="B7" s="4" t="inlineStr">
        <is>
          <t>Req 1 &amp; 7: Tier 1 Per-Tx Limit Exceeded</t>
        </is>
      </c>
      <c r="C7" s="5" t="inlineStr">
        <is>
          <t>Tier 1 Limits</t>
        </is>
      </c>
      <c r="D7" s="5" t="inlineStr">
        <is>
          <t>Boundary: Just above per-transaction limit (20,000.01)</t>
        </is>
      </c>
      <c r="E7" s="5" t="inlineStr">
        <is>
          <t>Tier 1 account active, balance = 30,000, daily limit unused</t>
        </is>
      </c>
      <c r="F7" s="5" t="inlineStr">
        <is>
          <t>Recipient Wallet: W-102, Amount = 20,000.01</t>
        </is>
      </c>
      <c r="G7" s="5" t="inlineStr">
        <is>
          <t>1. Initiate transfer.
2. Enter amount 20,000.01.
3. Attempt to submit.</t>
        </is>
      </c>
      <c r="H7" s="5" t="inlineStr">
        <is>
          <t>Transaction rejected immediately. Error: 'Transfer amount exceeds maximum per-transaction limit of 20,000.00 for Tier 1'. No balance change.</t>
        </is>
      </c>
      <c r="I7" s="4" t="inlineStr">
        <is>
          <t>Critical</t>
        </is>
      </c>
      <c r="J7" s="5" t="inlineStr">
        <is>
          <t>Negative, Boundary</t>
        </is>
      </c>
    </row>
    <row r="8" ht="45" customHeight="1">
      <c r="A8" s="2" t="inlineStr">
        <is>
          <t>TL1-007</t>
        </is>
      </c>
      <c r="B8" s="2" t="inlineStr">
        <is>
          <t>Req 1: Tier 1 Daily Limit</t>
        </is>
      </c>
      <c r="C8" s="3" t="inlineStr">
        <is>
          <t>Tier 1 Limits</t>
        </is>
      </c>
      <c r="D8" s="3" t="inlineStr">
        <is>
          <t>Multiple transfers reaching daily limit exactly (20k + 20k + 10k)</t>
        </is>
      </c>
      <c r="E8" s="3" t="inlineStr">
        <is>
          <t>Tier 1 account active, balance = 60,000</t>
        </is>
      </c>
      <c r="F8" s="3" t="inlineStr">
        <is>
          <t>Tx1: 20,000, Tx2: 20,000, Tx3: 10,000</t>
        </is>
      </c>
      <c r="G8" s="3" t="inlineStr">
        <is>
          <t>1. Execute Tx1 (20,000).
2. Execute Tx2 (20,000).
3. Execute Tx3 (10,000).</t>
        </is>
      </c>
      <c r="H8" s="3" t="inlineStr">
        <is>
          <t>All 3 transfers succeed. Cumulative daily spent = 50,000.00. Remaining daily limit = 0.00.</t>
        </is>
      </c>
      <c r="I8" s="2" t="inlineStr">
        <is>
          <t>Critical</t>
        </is>
      </c>
      <c r="J8" s="3" t="inlineStr">
        <is>
          <t>Functional, Boundary</t>
        </is>
      </c>
    </row>
    <row r="9" ht="45" customHeight="1">
      <c r="A9" s="4" t="inlineStr">
        <is>
          <t>TL1-008</t>
        </is>
      </c>
      <c r="B9" s="4" t="inlineStr">
        <is>
          <t>Req 1 &amp; 7: Tier 1 Daily Limit Exceeded</t>
        </is>
      </c>
      <c r="C9" s="5" t="inlineStr">
        <is>
          <t>Tier 1 Limits</t>
        </is>
      </c>
      <c r="D9" s="5" t="inlineStr">
        <is>
          <t>Boundary: Just above daily limit by 0.01 on subsequent transfer</t>
        </is>
      </c>
      <c r="E9" s="5" t="inlineStr">
        <is>
          <t>Tier 1 account active, spent 40,000 today, remaining limit = 10,000.00</t>
        </is>
      </c>
      <c r="F9" s="5" t="inlineStr">
        <is>
          <t>Recipient: W-102, Amount = 10,000.01</t>
        </is>
      </c>
      <c r="G9" s="5" t="inlineStr">
        <is>
          <t>1. Initiate transfer of 10,000.01.</t>
        </is>
      </c>
      <c r="H9" s="5" t="inlineStr">
        <is>
          <t>Transaction rejected. Error: 'Transfer exceeds daily limit. Remaining daily limit: 10,000.00'. Remaining limit remains 10,000.00.</t>
        </is>
      </c>
      <c r="I9" s="4" t="inlineStr">
        <is>
          <t>Critical</t>
        </is>
      </c>
      <c r="J9" s="5" t="inlineStr">
        <is>
          <t>Negative, Boundary</t>
        </is>
      </c>
    </row>
    <row r="10" ht="45" customHeight="1">
      <c r="A10" s="2" t="inlineStr">
        <is>
          <t>TL1-009</t>
        </is>
      </c>
      <c r="B10" s="2" t="inlineStr">
        <is>
          <t>Req 1: Tier 1 Decimal Precision</t>
        </is>
      </c>
      <c r="C10" s="3" t="inlineStr">
        <is>
          <t>Tier 1 Limits</t>
        </is>
      </c>
      <c r="D10" s="3" t="inlineStr">
        <is>
          <t>Transfer with 3 decimal places (200.555)</t>
        </is>
      </c>
      <c r="E10" s="3" t="inlineStr">
        <is>
          <t>Tier 1 account active, balance = 5,000</t>
        </is>
      </c>
      <c r="F10" s="3" t="inlineStr">
        <is>
          <t>Recipient: W-102, Amount = 200.555</t>
        </is>
      </c>
      <c r="G10" s="3" t="inlineStr">
        <is>
          <t>1. Input amount 200.555 into transfer input field.</t>
        </is>
      </c>
      <c r="H10" s="3" t="inlineStr">
        <is>
          <t>System truncates/rounds to 2 decimal places (200.55 or 200.56) or rejects with formatting error before submission.</t>
        </is>
      </c>
      <c r="I10" s="2" t="inlineStr">
        <is>
          <t>Low</t>
        </is>
      </c>
      <c r="J10" s="3" t="inlineStr">
        <is>
          <t>Validation, UI</t>
        </is>
      </c>
    </row>
    <row r="11" ht="45" customHeight="1">
      <c r="A11" s="4" t="inlineStr">
        <is>
          <t>TL2-001</t>
        </is>
      </c>
      <c r="B11" s="4" t="inlineStr">
        <is>
          <t>Req 1: Tier 2 Per-Tx Limit</t>
        </is>
      </c>
      <c r="C11" s="5" t="inlineStr">
        <is>
          <t>Tier 2 Limits</t>
        </is>
      </c>
      <c r="D11" s="5" t="inlineStr">
        <is>
          <t>Boundary: Just below per-transaction limit (199,999.99)</t>
        </is>
      </c>
      <c r="E11" s="5" t="inlineStr">
        <is>
          <t>Tier 2 account active, balance = 300,000</t>
        </is>
      </c>
      <c r="F11" s="5" t="inlineStr">
        <is>
          <t>Recipient Bank: B-901, Amount = 199,999.99</t>
        </is>
      </c>
      <c r="G11" s="5" t="inlineStr">
        <is>
          <t>1. Initiate bank transfer.
2. Enter amount 199,999.99.
3. Submit.</t>
        </is>
      </c>
      <c r="H11" s="5" t="inlineStr">
        <is>
          <t>Transfer successful. Remaining daily limit = 300,000.01.</t>
        </is>
      </c>
      <c r="I11" s="4" t="inlineStr">
        <is>
          <t>High</t>
        </is>
      </c>
      <c r="J11" s="5" t="inlineStr">
        <is>
          <t>Functional, Boundary</t>
        </is>
      </c>
    </row>
    <row r="12" ht="45" customHeight="1">
      <c r="A12" s="2" t="inlineStr">
        <is>
          <t>TL2-002</t>
        </is>
      </c>
      <c r="B12" s="2" t="inlineStr">
        <is>
          <t>Req 1: Tier 2 Per-Tx Limit</t>
        </is>
      </c>
      <c r="C12" s="3" t="inlineStr">
        <is>
          <t>Tier 2 Limits</t>
        </is>
      </c>
      <c r="D12" s="3" t="inlineStr">
        <is>
          <t>Boundary: Exactly at per-transaction limit (200,000.00)</t>
        </is>
      </c>
      <c r="E12" s="3" t="inlineStr">
        <is>
          <t>Tier 2 account active, balance = 300,000</t>
        </is>
      </c>
      <c r="F12" s="3" t="inlineStr">
        <is>
          <t>Recipient Bank: B-901, Amount = 200,000.00</t>
        </is>
      </c>
      <c r="G12" s="3" t="inlineStr">
        <is>
          <t>1. Initiate bank transfer.
2. Enter 200,000.00.
3. Submit.</t>
        </is>
      </c>
      <c r="H12" s="3" t="inlineStr">
        <is>
          <t>Transfer successful. Daily spent = 200,000.00, remaining daily limit = 300,000.00.</t>
        </is>
      </c>
      <c r="I12" s="2" t="inlineStr">
        <is>
          <t>Critical</t>
        </is>
      </c>
      <c r="J12" s="3" t="inlineStr">
        <is>
          <t>Functional, Boundary</t>
        </is>
      </c>
    </row>
    <row r="13" ht="45" customHeight="1">
      <c r="A13" s="4" t="inlineStr">
        <is>
          <t>TL2-003</t>
        </is>
      </c>
      <c r="B13" s="4" t="inlineStr">
        <is>
          <t>Req 1 &amp; 7: Tier 2 Per-Tx Limit Exceeded</t>
        </is>
      </c>
      <c r="C13" s="5" t="inlineStr">
        <is>
          <t>Tier 2 Limits</t>
        </is>
      </c>
      <c r="D13" s="5" t="inlineStr">
        <is>
          <t>Boundary: Just above per-transaction limit (200,000.01)</t>
        </is>
      </c>
      <c r="E13" s="5" t="inlineStr">
        <is>
          <t>Tier 2 account active, balance = 300,000</t>
        </is>
      </c>
      <c r="F13" s="5" t="inlineStr">
        <is>
          <t>Recipient Bank: B-901, Amount = 200,000.01</t>
        </is>
      </c>
      <c r="G13" s="5" t="inlineStr">
        <is>
          <t>1. Initiate transfer.
2. Enter 200,000.01.
3. Submit.</t>
        </is>
      </c>
      <c r="H13" s="5" t="inlineStr">
        <is>
          <t>Transaction rejected. Error: 'Transfer amount exceeds maximum per-transaction limit of 200,000.00 for Tier 2'.</t>
        </is>
      </c>
      <c r="I13" s="4" t="inlineStr">
        <is>
          <t>Critical</t>
        </is>
      </c>
      <c r="J13" s="5" t="inlineStr">
        <is>
          <t>Negative, Boundary</t>
        </is>
      </c>
    </row>
    <row r="14" ht="45" customHeight="1">
      <c r="A14" s="2" t="inlineStr">
        <is>
          <t>TL2-004</t>
        </is>
      </c>
      <c r="B14" s="2" t="inlineStr">
        <is>
          <t>Req 1: Tier 2 Daily Limit</t>
        </is>
      </c>
      <c r="C14" s="3" t="inlineStr">
        <is>
          <t>Tier 2 Limits</t>
        </is>
      </c>
      <c r="D14" s="3" t="inlineStr">
        <is>
          <t>Boundary: Reaching daily limit exactly via multiple max per-tx transfers</t>
        </is>
      </c>
      <c r="E14" s="3" t="inlineStr">
        <is>
          <t>Tier 2 account active, balance = 600,000</t>
        </is>
      </c>
      <c r="F14" s="3" t="inlineStr">
        <is>
          <t>Tx1: 200,000, Tx2: 200,000, Tx3: 100,000</t>
        </is>
      </c>
      <c r="G14" s="3" t="inlineStr">
        <is>
          <t>1. Execute Tx1 (200k).
2. Execute Tx2 (200k).
3. Execute Tx3 (100k).</t>
        </is>
      </c>
      <c r="H14" s="3" t="inlineStr">
        <is>
          <t>All 3 transfers succeed. Cumulative daily total = 500,000.00. Remaining daily limit = 0.00.</t>
        </is>
      </c>
      <c r="I14" s="2" t="inlineStr">
        <is>
          <t>Critical</t>
        </is>
      </c>
      <c r="J14" s="3" t="inlineStr">
        <is>
          <t>Functional, Boundary</t>
        </is>
      </c>
    </row>
    <row r="15" ht="45" customHeight="1">
      <c r="A15" s="4" t="inlineStr">
        <is>
          <t>TL2-005</t>
        </is>
      </c>
      <c r="B15" s="4" t="inlineStr">
        <is>
          <t>Req 1 &amp; 7: Tier 2 Daily Limit Exceeded</t>
        </is>
      </c>
      <c r="C15" s="5" t="inlineStr">
        <is>
          <t>Tier 2 Limits</t>
        </is>
      </c>
      <c r="D15" s="5" t="inlineStr">
        <is>
          <t>Exceeding daily limit after partial usage</t>
        </is>
      </c>
      <c r="E15" s="5" t="inlineStr">
        <is>
          <t>Tier 2 account active, spent 450,000 today, remaining limit = 50,000</t>
        </is>
      </c>
      <c r="F15" s="5" t="inlineStr">
        <is>
          <t>Recipient Wallet: W-202, Amount = 50,000.01</t>
        </is>
      </c>
      <c r="G15" s="5" t="inlineStr">
        <is>
          <t>1. Initiate transfer of 50,000.01.</t>
        </is>
      </c>
      <c r="H15" s="5" t="inlineStr">
        <is>
          <t>Transaction rejected. Error message: 'Transfer exceeds daily limit. Remaining daily limit: 50,000.00'.</t>
        </is>
      </c>
      <c r="I15" s="4" t="inlineStr">
        <is>
          <t>Critical</t>
        </is>
      </c>
      <c r="J15" s="5" t="inlineStr">
        <is>
          <t>Negative, Boundary</t>
        </is>
      </c>
    </row>
    <row r="16" ht="45" customHeight="1">
      <c r="A16" s="2" t="inlineStr">
        <is>
          <t>TL3-001</t>
        </is>
      </c>
      <c r="B16" s="2" t="inlineStr">
        <is>
          <t>Req 1: Tier 3 Per-Tx Exemption</t>
        </is>
      </c>
      <c r="C16" s="3" t="inlineStr">
        <is>
          <t>Tier 3 Limits</t>
        </is>
      </c>
      <c r="D16" s="3" t="inlineStr">
        <is>
          <t>Single transaction exceeding Tier 2 max (1,000,000.00)</t>
        </is>
      </c>
      <c r="E16" s="3" t="inlineStr">
        <is>
          <t>Tier 3 account active, balance = 2,000,000</t>
        </is>
      </c>
      <c r="F16" s="3" t="inlineStr">
        <is>
          <t>Recipient Wallet: W-303, Amount = 1,000,000.00</t>
        </is>
      </c>
      <c r="G16" s="3" t="inlineStr">
        <is>
          <t>1. Initiate transfer of 1,000,000.00.
2. Confirm.</t>
        </is>
      </c>
      <c r="H16" s="3" t="inlineStr">
        <is>
          <t>Transfer completes successfully (no per-transaction limit for Tier 3). Remaining daily limit = 4,000,000.00.</t>
        </is>
      </c>
      <c r="I16" s="2" t="inlineStr">
        <is>
          <t>Critical</t>
        </is>
      </c>
      <c r="J16" s="3" t="inlineStr">
        <is>
          <t>Functional</t>
        </is>
      </c>
    </row>
    <row r="17" ht="45" customHeight="1">
      <c r="A17" s="4" t="inlineStr">
        <is>
          <t>TL3-002</t>
        </is>
      </c>
      <c r="B17" s="4" t="inlineStr">
        <is>
          <t>Req 1: Tier 3 Daily Limit</t>
        </is>
      </c>
      <c r="C17" s="5" t="inlineStr">
        <is>
          <t>Tier 3 Limits</t>
        </is>
      </c>
      <c r="D17" s="5" t="inlineStr">
        <is>
          <t>Boundary: Single transaction equal to full daily limit (5,000,000.00)</t>
        </is>
      </c>
      <c r="E17" s="5" t="inlineStr">
        <is>
          <t>Tier 3 account active, balance = 6,000,000</t>
        </is>
      </c>
      <c r="F17" s="5" t="inlineStr">
        <is>
          <t>Recipient Bank: B-303, Amount = 5,000,000.00</t>
        </is>
      </c>
      <c r="G17" s="5" t="inlineStr">
        <is>
          <t>1. Initiate bank transfer of 5,000,000.00.</t>
        </is>
      </c>
      <c r="H17" s="5" t="inlineStr">
        <is>
          <t>Transfer succeeds. Daily spent = 5,000,000.00, remaining daily limit = 0.00.</t>
        </is>
      </c>
      <c r="I17" s="4" t="inlineStr">
        <is>
          <t>Critical</t>
        </is>
      </c>
      <c r="J17" s="5" t="inlineStr">
        <is>
          <t>Functional, Boundary</t>
        </is>
      </c>
    </row>
    <row r="18" ht="45" customHeight="1">
      <c r="A18" s="2" t="inlineStr">
        <is>
          <t>TL3-003</t>
        </is>
      </c>
      <c r="B18" s="2" t="inlineStr">
        <is>
          <t>Req 1 &amp; 7: Tier 3 Daily Limit Exceeded</t>
        </is>
      </c>
      <c r="C18" s="3" t="inlineStr">
        <is>
          <t>Tier 3 Limits</t>
        </is>
      </c>
      <c r="D18" s="3" t="inlineStr">
        <is>
          <t>Boundary: Single transaction exceeding Tier 3 daily limit (5,000,000.01)</t>
        </is>
      </c>
      <c r="E18" s="3" t="inlineStr">
        <is>
          <t>Tier 3 account active, balance = 6,000,000</t>
        </is>
      </c>
      <c r="F18" s="3" t="inlineStr">
        <is>
          <t>Recipient Bank: B-303, Amount = 5,000,000.01</t>
        </is>
      </c>
      <c r="G18" s="3" t="inlineStr">
        <is>
          <t>1. Initiate bank transfer of 5,000,000.01.</t>
        </is>
      </c>
      <c r="H18" s="3" t="inlineStr">
        <is>
          <t>Transaction rejected. Error: 'Transfer exceeds daily limit. Remaining daily limit: 5,000,000.00'.</t>
        </is>
      </c>
      <c r="I18" s="2" t="inlineStr">
        <is>
          <t>Critical</t>
        </is>
      </c>
      <c r="J18" s="3" t="inlineStr">
        <is>
          <t>Negative, Boundary</t>
        </is>
      </c>
    </row>
    <row r="19" ht="45" customHeight="1">
      <c r="A19" s="4" t="inlineStr">
        <is>
          <t>TL3-004</t>
        </is>
      </c>
      <c r="B19" s="4" t="inlineStr">
        <is>
          <t>Req 1: Tier 3 Extremely Large Amount</t>
        </is>
      </c>
      <c r="C19" s="5" t="inlineStr">
        <is>
          <t>Tier 3 Limits</t>
        </is>
      </c>
      <c r="D19" s="5" t="inlineStr">
        <is>
          <t>High amount exceeding balance but within daily limit</t>
        </is>
      </c>
      <c r="E19" s="5" t="inlineStr">
        <is>
          <t>Tier 3 account active, balance = 100,000, daily limit unused</t>
        </is>
      </c>
      <c r="F19" s="5" t="inlineStr">
        <is>
          <t>Recipient Wallet: W-303, Amount = 4,000,000.00</t>
        </is>
      </c>
      <c r="G19" s="5" t="inlineStr">
        <is>
          <t>1. Initiate transfer of 4,000,000.00.</t>
        </is>
      </c>
      <c r="H19" s="5" t="inlineStr">
        <is>
          <t>Transaction rejected with insufficient balance error: 'Insufficient account balance'. Daily limit untouched.</t>
        </is>
      </c>
      <c r="I19" s="4" t="inlineStr">
        <is>
          <t>High</t>
        </is>
      </c>
      <c r="J19" s="5" t="inlineStr">
        <is>
          <t>Negative, Validation</t>
        </is>
      </c>
    </row>
    <row r="20" ht="45" customHeight="1">
      <c r="A20" s="2" t="inlineStr">
        <is>
          <t>RST-001</t>
        </is>
      </c>
      <c r="B20" s="2" t="inlineStr">
        <is>
          <t>Req 2: Midnight Reset</t>
        </is>
      </c>
      <c r="C20" s="3" t="inlineStr">
        <is>
          <t>Daily Limit Reset</t>
        </is>
      </c>
      <c r="D20" s="3" t="inlineStr">
        <is>
          <t>Limit reset at exactly 00:00:00 midnight</t>
        </is>
      </c>
      <c r="E20" s="3" t="inlineStr">
        <is>
          <t>Tier 1 account, daily limit fully exhausted (spent 50,000) on Day 1</t>
        </is>
      </c>
      <c r="F20" s="3" t="inlineStr">
        <is>
          <t>Recipient: W-102, Amount = 10,000.00</t>
        </is>
      </c>
      <c r="G20" s="3" t="inlineStr">
        <is>
          <t>1. At 23:59:50 Day 1, verify remaining limit = 0.
2. Wait until clock hits 00:00:00 Day 2.
3. Initiate transfer of 10,000.</t>
        </is>
      </c>
      <c r="H20" s="3" t="inlineStr">
        <is>
          <t>At 00:00:00, daily cumulative spent resets to 0.00. Transfer succeeds. Remaining daily limit = 40,000.00.</t>
        </is>
      </c>
      <c r="I20" s="2" t="inlineStr">
        <is>
          <t>Critical</t>
        </is>
      </c>
      <c r="J20" s="3" t="inlineStr">
        <is>
          <t>Functional, Time-Based</t>
        </is>
      </c>
    </row>
    <row r="21" ht="45" customHeight="1">
      <c r="A21" s="4" t="inlineStr">
        <is>
          <t>RST-002</t>
        </is>
      </c>
      <c r="B21" s="4" t="inlineStr">
        <is>
          <t>Req 2: Time-Based Boundary</t>
        </is>
      </c>
      <c r="C21" s="5" t="inlineStr">
        <is>
          <t>Daily Limit Reset</t>
        </is>
      </c>
      <c r="D21" s="5" t="inlineStr">
        <is>
          <t>Transfer submitted at 23:59:59 before midnight</t>
        </is>
      </c>
      <c r="E21" s="5" t="inlineStr">
        <is>
          <t>Tier 1 account, spent 40,000 today, remaining = 10,000</t>
        </is>
      </c>
      <c r="F21" s="5" t="inlineStr">
        <is>
          <t>Recipient: W-102, Amount = 10,000.00</t>
        </is>
      </c>
      <c r="G21" s="5" t="inlineStr">
        <is>
          <t>1. Initiate transfer at 23:59:59 Day 1.</t>
        </is>
      </c>
      <c r="H21" s="5" t="inlineStr">
        <is>
          <t>Transfer succeeds against Day 1 limit. Remaining Day 1 limit = 0.00.</t>
        </is>
      </c>
      <c r="I21" s="4" t="inlineStr">
        <is>
          <t>High</t>
        </is>
      </c>
      <c r="J21" s="5" t="inlineStr">
        <is>
          <t>Boundary, Time-Based</t>
        </is>
      </c>
    </row>
    <row r="22" ht="45" customHeight="1">
      <c r="A22" s="2" t="inlineStr">
        <is>
          <t>RST-003</t>
        </is>
      </c>
      <c r="B22" s="2" t="inlineStr">
        <is>
          <t>Req 2: Time-Based Boundary</t>
        </is>
      </c>
      <c r="C22" s="3" t="inlineStr">
        <is>
          <t>Daily Limit Reset</t>
        </is>
      </c>
      <c r="D22" s="3" t="inlineStr">
        <is>
          <t>Transfer submitted at 00:00:01 after midnight</t>
        </is>
      </c>
      <c r="E22" s="3" t="inlineStr">
        <is>
          <t>Tier 1 account, spent 50,000 on Day 1 (exhausted)</t>
        </is>
      </c>
      <c r="F22" s="3" t="inlineStr">
        <is>
          <t>Recipient: W-102, Amount = 20,000.00</t>
        </is>
      </c>
      <c r="G22" s="3" t="inlineStr">
        <is>
          <t>1. Initiate transfer at 00:00:01 Day 2.</t>
        </is>
      </c>
      <c r="H22" s="3" t="inlineStr">
        <is>
          <t>Transfer succeeds against Day 2 limit. Remaining Day 2 limit = 30,000.00.</t>
        </is>
      </c>
      <c r="I22" s="2" t="inlineStr">
        <is>
          <t>High</t>
        </is>
      </c>
      <c r="J22" s="3" t="inlineStr">
        <is>
          <t>Boundary, Time-Based</t>
        </is>
      </c>
    </row>
    <row r="23" ht="45" customHeight="1">
      <c r="A23" s="4" t="inlineStr">
        <is>
          <t>RST-004</t>
        </is>
      </c>
      <c r="B23" s="4" t="inlineStr">
        <is>
          <t>Req 2 &amp; 11: Server vs Device Time</t>
        </is>
      </c>
      <c r="C23" s="5" t="inlineStr">
        <is>
          <t>Daily Limit Reset</t>
        </is>
      </c>
      <c r="D23" s="5" t="inlineStr">
        <is>
          <t>Device clock manipulated to pass midnight</t>
        </is>
      </c>
      <c r="E23" s="5" t="inlineStr">
        <is>
          <t>Tier 1 account, spent 50,000 today. Device clock set forward to 00:05:00 next day.</t>
        </is>
      </c>
      <c r="F23" s="5" t="inlineStr">
        <is>
          <t>Recipient: W-102, Amount = 5,000.00</t>
        </is>
      </c>
      <c r="G23" s="5" t="inlineStr">
        <is>
          <t>1. Change local device time to past midnight.
2. Submit transfer request.</t>
        </is>
      </c>
      <c r="H23" s="5" t="inlineStr">
        <is>
          <t>Server checks authoritative UTC/Server time. Transfer rejected with limit error based on server date.</t>
        </is>
      </c>
      <c r="I23" s="4" t="inlineStr">
        <is>
          <t>Critical</t>
        </is>
      </c>
      <c r="J23" s="5" t="inlineStr">
        <is>
          <t>Security, Time-Based</t>
        </is>
      </c>
    </row>
    <row r="24" ht="45" customHeight="1">
      <c r="A24" s="2" t="inlineStr">
        <is>
          <t>PFR-001</t>
        </is>
      </c>
      <c r="B24" s="2" t="inlineStr">
        <is>
          <t>Req 3: Pending Encumbrance</t>
        </is>
      </c>
      <c r="C24" s="3" t="inlineStr">
        <is>
          <t>Pending &amp; Reversals</t>
        </is>
      </c>
      <c r="D24" s="3" t="inlineStr">
        <is>
          <t>Single pending transfer reduces available daily limit</t>
        </is>
      </c>
      <c r="E24" s="3" t="inlineStr">
        <is>
          <t>Tier 1 account, limit 50,000, 0 spent today</t>
        </is>
      </c>
      <c r="F24" s="3" t="inlineStr">
        <is>
          <t>Pending Tx: 15,000, New Tx: 35,000</t>
        </is>
      </c>
      <c r="G24" s="3" t="inlineStr">
        <is>
          <t>1. Initiate Tx1 (15k) which enters PENDING state.
2. Check remaining daily limit.
3. Initiate Tx2 (35k).</t>
        </is>
      </c>
      <c r="H24" s="3" t="inlineStr">
        <is>
          <t>After Tx1, remaining limit = 35,000.00. Tx2 (35k) succeeds. Remaining limit = 0.00.</t>
        </is>
      </c>
      <c r="I24" s="2" t="inlineStr">
        <is>
          <t>Critical</t>
        </is>
      </c>
      <c r="J24" s="3" t="inlineStr">
        <is>
          <t>Functional, State-Based</t>
        </is>
      </c>
    </row>
    <row r="25" ht="45" customHeight="1">
      <c r="A25" s="4" t="inlineStr">
        <is>
          <t>PFR-002</t>
        </is>
      </c>
      <c r="B25" s="4" t="inlineStr">
        <is>
          <t>Req 3 &amp; 7: Pending Exceeds Limit</t>
        </is>
      </c>
      <c r="C25" s="5" t="inlineStr">
        <is>
          <t>Pending &amp; Reversals</t>
        </is>
      </c>
      <c r="D25" s="5" t="inlineStr">
        <is>
          <t>New transfer blocked when sum of pending + new exceeds limit</t>
        </is>
      </c>
      <c r="E25" s="5" t="inlineStr">
        <is>
          <t>Tier 1 account, limit 50,000; Pending Tx1 = 30,000</t>
        </is>
      </c>
      <c r="F25" s="5" t="inlineStr">
        <is>
          <t>New Tx: 20,000.01</t>
        </is>
      </c>
      <c r="G25" s="5" t="inlineStr">
        <is>
          <t>1. Verify Tx1 is PENDING.
2. Attempt new transfer of 20,000.01.</t>
        </is>
      </c>
      <c r="H25" s="5" t="inlineStr">
        <is>
          <t>Transfer rejected. Error: 'Transfer exceeds daily limit. Remaining daily limit: 20,000.00'.</t>
        </is>
      </c>
      <c r="I25" s="4" t="inlineStr">
        <is>
          <t>Critical</t>
        </is>
      </c>
      <c r="J25" s="5" t="inlineStr">
        <is>
          <t>Negative, State-Based</t>
        </is>
      </c>
    </row>
    <row r="26" ht="45" customHeight="1">
      <c r="A26" s="2" t="inlineStr">
        <is>
          <t>PFR-003</t>
        </is>
      </c>
      <c r="B26" s="2" t="inlineStr">
        <is>
          <t>Req 3: Failed Transfer Restoration</t>
        </is>
      </c>
      <c r="C26" s="3" t="inlineStr">
        <is>
          <t>Pending &amp; Reversals</t>
        </is>
      </c>
      <c r="D26" s="3" t="inlineStr">
        <is>
          <t>Failed bank transfer restores daily limit immediately</t>
        </is>
      </c>
      <c r="E26" s="3" t="inlineStr">
        <is>
          <t>Tier 2 account, limit 500,000; Tx1 (200,000) in PENDING/PROCESSING</t>
        </is>
      </c>
      <c r="F26" s="3" t="inlineStr">
        <is>
          <t>Tx1 status updated to FAILED by payment gateway</t>
        </is>
      </c>
      <c r="G26" s="3" t="inlineStr">
        <is>
          <t>1. Note remaining limit = 300,000.
2. Trigger banking gateway failure for Tx1.
3. Check remaining daily limit.</t>
        </is>
      </c>
      <c r="H26" s="3" t="inlineStr">
        <is>
          <t>Tx1 transitions to FAILED. 200,000 is restored to daily limit. Remaining daily limit returns to 500,000.00.</t>
        </is>
      </c>
      <c r="I26" s="2" t="inlineStr">
        <is>
          <t>Critical</t>
        </is>
      </c>
      <c r="J26" s="3" t="inlineStr">
        <is>
          <t>Functional, Integration</t>
        </is>
      </c>
    </row>
    <row r="27" ht="45" customHeight="1">
      <c r="A27" s="4" t="inlineStr">
        <is>
          <t>PFR-004</t>
        </is>
      </c>
      <c r="B27" s="4" t="inlineStr">
        <is>
          <t>Req 3: Reversed Transfer Restoration</t>
        </is>
      </c>
      <c r="C27" s="5" t="inlineStr">
        <is>
          <t>Pending &amp; Reversals</t>
        </is>
      </c>
      <c r="D27" s="5" t="inlineStr">
        <is>
          <t>Completed transfer reversed by admin restores daily limit on same day</t>
        </is>
      </c>
      <c r="E27" s="5" t="inlineStr">
        <is>
          <t>Tier 1 account, spent 40,000 today; remaining limit = 10,000</t>
        </is>
      </c>
      <c r="F27" s="5" t="inlineStr">
        <is>
          <t>Tx1 (20,000) reversed by dispute admin</t>
        </is>
      </c>
      <c r="G27" s="5" t="inlineStr">
        <is>
          <t>1. Admin issues full reversal for Tx1 (20,000).
2. Check remaining daily limit.</t>
        </is>
      </c>
      <c r="H27" s="5" t="inlineStr">
        <is>
          <t>Tx1 marked REVERSED. Daily spent reduced from 40,000 to 20,000. Remaining limit increases to 30,000.00.</t>
        </is>
      </c>
      <c r="I27" s="4" t="inlineStr">
        <is>
          <t>Critical</t>
        </is>
      </c>
      <c r="J27" s="5" t="inlineStr">
        <is>
          <t>Functional, State-Based</t>
        </is>
      </c>
    </row>
    <row r="28" ht="45" customHeight="1">
      <c r="A28" s="2" t="inlineStr">
        <is>
          <t>PFR-005</t>
        </is>
      </c>
      <c r="B28" s="2" t="inlineStr">
        <is>
          <t>Req 3 &amp; 2: Reversal Across Midnight</t>
        </is>
      </c>
      <c r="C28" s="3" t="inlineStr">
        <is>
          <t>Pending &amp; Reversals</t>
        </is>
      </c>
      <c r="D28" s="3" t="inlineStr">
        <is>
          <t>Transfer from Day 1 reversed on Day 2 does not bloat Day 2 limit</t>
        </is>
      </c>
      <c r="E28" s="3" t="inlineStr">
        <is>
          <t>Tier 1 account; Day 1 spent 30,000 (including Tx1 = 10,000). Midnight passes.</t>
        </is>
      </c>
      <c r="F28" s="3" t="inlineStr">
        <is>
          <t>Tx1 (10,000 from Day 1) reversed on Day 2</t>
        </is>
      </c>
      <c r="G28" s="3" t="inlineStr">
        <is>
          <t>1. At Day 2 10:00 AM, Tx1 from Day 1 is reversed.
2. Check Day 2 remaining daily limit.</t>
        </is>
      </c>
      <c r="H28" s="3" t="inlineStr">
        <is>
          <t>Day 2 remaining limit stays capped at 50,000.00 (does not become 60,000). Account balance is refunded 10,000.</t>
        </is>
      </c>
      <c r="I28" s="2" t="inlineStr">
        <is>
          <t>High</t>
        </is>
      </c>
      <c r="J28" s="3" t="inlineStr">
        <is>
          <t>Boundary, Logic</t>
        </is>
      </c>
    </row>
    <row r="29" ht="45" customHeight="1">
      <c r="A29" s="4" t="inlineStr">
        <is>
          <t>PFR-006</t>
        </is>
      </c>
      <c r="B29" s="4" t="inlineStr">
        <is>
          <t>Req 3: Multiple Pending Transfers</t>
        </is>
      </c>
      <c r="C29" s="5" t="inlineStr">
        <is>
          <t>Pending &amp; Reversals</t>
        </is>
      </c>
      <c r="D29" s="5" t="inlineStr">
        <is>
          <t>Cumulative calculation across 5 parallel pending transfers</t>
        </is>
      </c>
      <c r="E29" s="5" t="inlineStr">
        <is>
          <t>Tier 2 account, limit 500,000</t>
        </is>
      </c>
      <c r="F29" s="5" t="inlineStr">
        <is>
          <t>5 pending transfers of 80,000 each (Total 400,000)</t>
        </is>
      </c>
      <c r="G29" s="5" t="inlineStr">
        <is>
          <t>1. Initiate 5 transfers of 80,000 sequentially into PENDING state.
2. Attempt 6th transfer of 100,000.01.</t>
        </is>
      </c>
      <c r="H29" s="5" t="inlineStr">
        <is>
          <t>5th transfer leaves remaining limit = 100,000.00. 6th transfer of 100,000.01 is rejected.</t>
        </is>
      </c>
      <c r="I29" s="4" t="inlineStr">
        <is>
          <t>High</t>
        </is>
      </c>
      <c r="J29" s="5" t="inlineStr">
        <is>
          <t>Functional, State-Based</t>
        </is>
      </c>
    </row>
    <row r="30" ht="45" customHeight="1">
      <c r="A30" s="2" t="inlineStr">
        <is>
          <t>OWN-001</t>
        </is>
      </c>
      <c r="B30" s="2" t="inlineStr">
        <is>
          <t>Req 4: Own Bank Exemption</t>
        </is>
      </c>
      <c r="C30" s="3" t="inlineStr">
        <is>
          <t>Own Bank Account</t>
        </is>
      </c>
      <c r="D30" s="3" t="inlineStr">
        <is>
          <t>Transfer to own verified linked bank account bypasses per-tx and daily limits</t>
        </is>
      </c>
      <c r="E30" s="3" t="inlineStr">
        <is>
          <t>Tier 1 account (Limit 20k/tx, 50k/day); Balance = 500,000</t>
        </is>
      </c>
      <c r="F30" s="3" t="inlineStr">
        <is>
          <t>Linked Bank Account: ACC-OWN-99, Amount = 300,000.00</t>
        </is>
      </c>
      <c r="G30" s="3" t="inlineStr">
        <is>
          <t>1. Select linked own bank account ACC-OWN-99.
2. Enter amount 300,000.00.
3. Submit transfer.</t>
        </is>
      </c>
      <c r="H30" s="3" t="inlineStr">
        <is>
          <t>Transfer succeeds! Daily limit spent counter remains 0.00. Remaining daily limit remains 50,000.00.</t>
        </is>
      </c>
      <c r="I30" s="2" t="inlineStr">
        <is>
          <t>Critical</t>
        </is>
      </c>
      <c r="J30" s="3" t="inlineStr">
        <is>
          <t>Functional, Business Logic</t>
        </is>
      </c>
    </row>
    <row r="31" ht="45" customHeight="1">
      <c r="A31" s="4" t="inlineStr">
        <is>
          <t>OWN-002</t>
        </is>
      </c>
      <c r="B31" s="4" t="inlineStr">
        <is>
          <t>Req 4: Own Bank Exemption</t>
        </is>
      </c>
      <c r="C31" s="5" t="inlineStr">
        <is>
          <t>Own Bank Account</t>
        </is>
      </c>
      <c r="D31" s="5" t="inlineStr">
        <is>
          <t>Own bank transfer after daily limit is completely exhausted (0 remaining)</t>
        </is>
      </c>
      <c r="E31" s="5" t="inlineStr">
        <is>
          <t>Tier 1 account, daily limit exhausted (spent 50,000 today); Balance = 100,000</t>
        </is>
      </c>
      <c r="F31" s="5" t="inlineStr">
        <is>
          <t>Linked Bank Account: ACC-OWN-99, Amount = 40,000.00</t>
        </is>
      </c>
      <c r="G31" s="5" t="inlineStr">
        <is>
          <t>1. Verify remaining daily limit = 0.00.
2. Initiate transfer to linked own bank account for 40,000.00.</t>
        </is>
      </c>
      <c r="H31" s="5" t="inlineStr">
        <is>
          <t>Transfer succeeds despite zero remaining daily limit. Exemption verified.</t>
        </is>
      </c>
      <c r="I31" s="4" t="inlineStr">
        <is>
          <t>Critical</t>
        </is>
      </c>
      <c r="J31" s="5" t="inlineStr">
        <is>
          <t>Functional, Edge Case</t>
        </is>
      </c>
    </row>
    <row r="32" ht="45" customHeight="1">
      <c r="A32" s="2" t="inlineStr">
        <is>
          <t>OWN-003</t>
        </is>
      </c>
      <c r="B32" s="2" t="inlineStr">
        <is>
          <t>Req 4: Non-Linked Third-Party Bank</t>
        </is>
      </c>
      <c r="C32" s="3" t="inlineStr">
        <is>
          <t>Own Bank Account</t>
        </is>
      </c>
      <c r="D32" s="3" t="inlineStr">
        <is>
          <t>Transfer to unlinked third-party bank account enforces limits</t>
        </is>
      </c>
      <c r="E32" s="3" t="inlineStr">
        <is>
          <t>Tier 1 account, daily limit remaining = 10,000</t>
        </is>
      </c>
      <c r="F32" s="3" t="inlineStr">
        <is>
          <t>Unlinked External Bank: ACC-EXT-01, Amount = 15,000.00</t>
        </is>
      </c>
      <c r="G32" s="3" t="inlineStr">
        <is>
          <t>1. Initiate transfer to third-party bank account ACC-EXT-01 for 15,000.00.</t>
        </is>
      </c>
      <c r="H32" s="3" t="inlineStr">
        <is>
          <t>Transfer rejected. Error: 'Transfer exceeds daily limit. Remaining daily limit: 10,000.00'.</t>
        </is>
      </c>
      <c r="I32" s="2" t="inlineStr">
        <is>
          <t>High</t>
        </is>
      </c>
      <c r="J32" s="3" t="inlineStr">
        <is>
          <t>Negative, Business Logic</t>
        </is>
      </c>
    </row>
    <row r="33" ht="45" customHeight="1">
      <c r="A33" s="4" t="inlineStr">
        <is>
          <t>OWN-004</t>
        </is>
      </c>
      <c r="B33" s="4" t="inlineStr">
        <is>
          <t>Req 4: Ownership Validation Change</t>
        </is>
      </c>
      <c r="C33" s="5" t="inlineStr">
        <is>
          <t>Own Bank Account</t>
        </is>
      </c>
      <c r="D33" s="5" t="inlineStr">
        <is>
          <t>Unlinking an account during transaction setup revokes exemption</t>
        </is>
      </c>
      <c r="E33" s="5" t="inlineStr">
        <is>
          <t>Tier 1 account, user unlinks ACC-OWN-99 in another tab</t>
        </is>
      </c>
      <c r="F33" s="5" t="inlineStr">
        <is>
          <t>Linked Bank Account: ACC-OWN-99, Amount = 30,000.00</t>
        </is>
      </c>
      <c r="G33" s="5" t="inlineStr">
        <is>
          <t>1. Select ACC-OWN-99 in transfer screen.
2. Unlink ACC-OWN-99 via profile settings.
3. Submit transfer of 30,000.00.</t>
        </is>
      </c>
      <c r="H33" s="5" t="inlineStr">
        <is>
          <t>System re-validates account ownership at execution. Transfer fails or is treated as external, rejecting due to 20k per-tx limit.</t>
        </is>
      </c>
      <c r="I33" s="4" t="inlineStr">
        <is>
          <t>High</t>
        </is>
      </c>
      <c r="J33" s="5" t="inlineStr">
        <is>
          <t>Security, Edge Case</t>
        </is>
      </c>
    </row>
    <row r="34" ht="45" customHeight="1">
      <c r="A34" s="2" t="inlineStr">
        <is>
          <t>OWN-005</t>
        </is>
      </c>
      <c r="B34" s="2" t="inlineStr">
        <is>
          <t>Req 4: Mixed Transfers Execution</t>
        </is>
      </c>
      <c r="C34" s="3" t="inlineStr">
        <is>
          <t>Own Bank Account</t>
        </is>
      </c>
      <c r="D34" s="3" t="inlineStr">
        <is>
          <t>Interleaved wallet transfers and own-bank transfers</t>
        </is>
      </c>
      <c r="E34" s="3" t="inlineStr">
        <is>
          <t>Tier 1 account (50k daily limit)</t>
        </is>
      </c>
      <c r="F34" s="3" t="inlineStr">
        <is>
          <t>Tx1 (Wallet): 20k, Tx2 (Own Bank): 100k, Tx3 (Wallet): 20k, Tx4 (Wallet): 15k</t>
        </is>
      </c>
      <c r="G34" s="3" t="inlineStr">
        <is>
          <t>1. Tx1 (20k wallet) -&gt; Success.
2. Tx2 (100k own bank) -&gt; Success.
3. Tx3 (20k wallet) -&gt; Success.
4. Tx4 (15k wallet) -&gt; Attempt.</t>
        </is>
      </c>
      <c r="H34" s="3" t="inlineStr">
        <is>
          <t>Tx1 and Tx3 consume 40k total. Tx2 consumes 0 limit. Tx4 (15k) rejected as it exceeds remaining 10k limit.</t>
        </is>
      </c>
      <c r="I34" s="2" t="inlineStr">
        <is>
          <t>High</t>
        </is>
      </c>
      <c r="J34" s="3" t="inlineStr">
        <is>
          <t>Functional, Complex Flow</t>
        </is>
      </c>
    </row>
    <row r="35" ht="45" customHeight="1">
      <c r="A35" s="4" t="inlineStr">
        <is>
          <t>SCH-001</t>
        </is>
      </c>
      <c r="B35" s="4" t="inlineStr">
        <is>
          <t>Req 5: Valid Future Scheduling</t>
        </is>
      </c>
      <c r="C35" s="5" t="inlineStr">
        <is>
          <t>Scheduled Transfers</t>
        </is>
      </c>
      <c r="D35" s="5" t="inlineStr">
        <is>
          <t>Schedule transfer for future date</t>
        </is>
      </c>
      <c r="E35" s="5" t="inlineStr">
        <is>
          <t>Tier 1 account, balance = 20,000</t>
        </is>
      </c>
      <c r="F35" s="5" t="inlineStr">
        <is>
          <t>Recipient: W-102, Amount = 5,000, Schedule Date: Tomorrow</t>
        </is>
      </c>
      <c r="G35" s="5" t="inlineStr">
        <is>
          <t>1. Select transfer -&gt; Future Date.
2. Pick tomorrow's date.
3. Set amount 5,000.00 and confirm.</t>
        </is>
      </c>
      <c r="H35" s="5" t="inlineStr">
        <is>
          <t>Scheduled transfer created with status SCHEDULED. Daily limit today is NOT debited.</t>
        </is>
      </c>
      <c r="I35" s="4" t="inlineStr">
        <is>
          <t>Critical</t>
        </is>
      </c>
      <c r="J35" s="5" t="inlineStr">
        <is>
          <t>Functional</t>
        </is>
      </c>
    </row>
    <row r="36" ht="45" customHeight="1">
      <c r="A36" s="2" t="inlineStr">
        <is>
          <t>SCH-002</t>
        </is>
      </c>
      <c r="B36" s="2" t="inlineStr">
        <is>
          <t>Req 5: Invalid Past Scheduling</t>
        </is>
      </c>
      <c r="C36" s="3" t="inlineStr">
        <is>
          <t>Scheduled Transfers</t>
        </is>
      </c>
      <c r="D36" s="3" t="inlineStr">
        <is>
          <t>Attempt to schedule transfer for a past date</t>
        </is>
      </c>
      <c r="E36" s="3" t="inlineStr">
        <is>
          <t>Tier 1 account</t>
        </is>
      </c>
      <c r="F36" s="3" t="inlineStr">
        <is>
          <t>Recipient: W-102, Amount = 5,000, Schedule Date: Yesterday</t>
        </is>
      </c>
      <c r="G36" s="3" t="inlineStr">
        <is>
          <t>1. Select schedule date as yesterday.</t>
        </is>
      </c>
      <c r="H36" s="3" t="inlineStr">
        <is>
          <t>Date picker prevents past date selection or API returns 400 Bad Request: 'Schedule date must be in the future'.</t>
        </is>
      </c>
      <c r="I36" s="2" t="inlineStr">
        <is>
          <t>Medium</t>
        </is>
      </c>
      <c r="J36" s="3" t="inlineStr">
        <is>
          <t>Negative, UI/API</t>
        </is>
      </c>
    </row>
    <row r="37" ht="45" customHeight="1">
      <c r="A37" s="4" t="inlineStr">
        <is>
          <t>SCH-003</t>
        </is>
      </c>
      <c r="B37" s="4" t="inlineStr">
        <is>
          <t>Req 5: Execution Time 08:00 AM</t>
        </is>
      </c>
      <c r="C37" s="5" t="inlineStr">
        <is>
          <t>Scheduled Transfers</t>
        </is>
      </c>
      <c r="D37" s="5" t="inlineStr">
        <is>
          <t>Scheduled transfer executes exactly at 08:00 AM on scheduled date</t>
        </is>
      </c>
      <c r="E37" s="5" t="inlineStr">
        <is>
          <t>Tier 1 account, Scheduled Tx: 10,000 for Today 08:00 AM, Balance = 20,000</t>
        </is>
      </c>
      <c r="F37" s="5" t="inlineStr">
        <is>
          <t>Scheduled Tx ID: SCH-1001</t>
        </is>
      </c>
      <c r="G37" s="5" t="inlineStr">
        <is>
          <t>1. Observe system state at 07:59:59 AM (Status: SCHEDULED).
2. Observe system state at 08:00:00 AM.
3. Check execution logs and account balance.</t>
        </is>
      </c>
      <c r="H37" s="5" t="inlineStr">
        <is>
          <t>Batch job executes at 08:00:00 AM. Tx changes to SUCCESSFUL. 10,000 debited from balance and today's daily limit.</t>
        </is>
      </c>
      <c r="I37" s="4" t="inlineStr">
        <is>
          <t>Critical</t>
        </is>
      </c>
      <c r="J37" s="5" t="inlineStr">
        <is>
          <t>Functional, Time-Based</t>
        </is>
      </c>
    </row>
    <row r="38" ht="45" customHeight="1">
      <c r="A38" s="2" t="inlineStr">
        <is>
          <t>SCH-004</t>
        </is>
      </c>
      <c r="B38" s="2" t="inlineStr">
        <is>
          <t>Req 5 &amp; 7: Scheduled Tx Exceeds Daily Limit at 8 AM</t>
        </is>
      </c>
      <c r="C38" s="3" t="inlineStr">
        <is>
          <t>Scheduled Transfers</t>
        </is>
      </c>
      <c r="D38" s="3" t="inlineStr">
        <is>
          <t>Scheduled transfer fails execution at 8 AM if today's limit is insufficient</t>
        </is>
      </c>
      <c r="E38" s="3" t="inlineStr">
        <is>
          <t>Tier 1 account. User spent 45,000 between 00:01 AM and 07:59 AM on execution day. Scheduled Tx = 10,000.</t>
        </is>
      </c>
      <c r="F38" s="3" t="inlineStr">
        <is>
          <t>Scheduled Tx ID: SCH-1002 (Amount: 10,000)</t>
        </is>
      </c>
      <c r="G38" s="3" t="inlineStr">
        <is>
          <t>1. User completes 45,000 transfers early morning.
2. Wait for 08:00 AM scheduler run.</t>
        </is>
      </c>
      <c r="H38" s="3" t="inlineStr">
        <is>
          <t>At 08:00 AM, scheduled execution fails. Status set to FAILED. Reason: 'Exceeds remaining daily limit of 5,000.00'. Notification sent.</t>
        </is>
      </c>
      <c r="I38" s="2" t="inlineStr">
        <is>
          <t>Critical</t>
        </is>
      </c>
      <c r="J38" s="3" t="inlineStr">
        <is>
          <t>Negative, Exception</t>
        </is>
      </c>
    </row>
    <row r="39" ht="45" customHeight="1">
      <c r="A39" s="4" t="inlineStr">
        <is>
          <t>SCH-005</t>
        </is>
      </c>
      <c r="B39" s="4" t="inlineStr">
        <is>
          <t>Req 5: Multiple Scheduled Transfers at 8 AM</t>
        </is>
      </c>
      <c r="C39" s="5" t="inlineStr">
        <is>
          <t>Scheduled Transfers</t>
        </is>
      </c>
      <c r="D39" s="5" t="inlineStr">
        <is>
          <t>Execution order and limit enforcement for multiple scheduled transfers at 8 AM</t>
        </is>
      </c>
      <c r="E39" s="5" t="inlineStr">
        <is>
          <t>Tier 1 account (50k limit). 3 transfers scheduled for today: S1 = 20k, S2 = 20k, S3 = 20k.</t>
        </is>
      </c>
      <c r="F39" s="5" t="inlineStr">
        <is>
          <t>S1: 20k, S2: 20k, S3: 20k</t>
        </is>
      </c>
      <c r="G39" s="5" t="inlineStr">
        <is>
          <t>1. Scheduler runs at 08:00 AM.</t>
        </is>
      </c>
      <c r="H39" s="5" t="inlineStr">
        <is>
          <t>S1 (20k) succeeds. S2 (20k) succeeds. S3 (20k) FAILS (exceeds remaining 10k limit). User notified of partial failure.</t>
        </is>
      </c>
      <c r="I39" s="4" t="inlineStr">
        <is>
          <t>High</t>
        </is>
      </c>
      <c r="J39" s="5" t="inlineStr">
        <is>
          <t>Functional, Stress/Logic</t>
        </is>
      </c>
    </row>
    <row r="40" ht="45" customHeight="1">
      <c r="A40" s="2" t="inlineStr">
        <is>
          <t>SCH-006</t>
        </is>
      </c>
      <c r="B40" s="2" t="inlineStr">
        <is>
          <t>Req 5: Account Balance Insufficient at 8 AM</t>
        </is>
      </c>
      <c r="C40" s="3" t="inlineStr">
        <is>
          <t>Scheduled Transfers</t>
        </is>
      </c>
      <c r="D40" s="3" t="inlineStr">
        <is>
          <t>Scheduled transfer fails at 8 AM due to insufficient account balance</t>
        </is>
      </c>
      <c r="E40" s="3" t="inlineStr">
        <is>
          <t>Tier 1 account. Scheduled Tx = 15,000. User withdrew funds yesterday; current balance = 2,000.</t>
        </is>
      </c>
      <c r="F40" s="3" t="inlineStr">
        <is>
          <t>Scheduled Tx ID: SCH-1003</t>
        </is>
      </c>
      <c r="G40" s="3" t="inlineStr">
        <is>
          <t>1. Scheduler runs at 08:00 AM.</t>
        </is>
      </c>
      <c r="H40" s="3" t="inlineStr">
        <is>
          <t>Execution fails. Status: FAILED. Reason: 'Insufficient account balance'. Daily limit unaffected.</t>
        </is>
      </c>
      <c r="I40" s="2" t="inlineStr">
        <is>
          <t>High</t>
        </is>
      </c>
      <c r="J40" s="3" t="inlineStr">
        <is>
          <t>Negative, Exception</t>
        </is>
      </c>
    </row>
    <row r="41" ht="45" customHeight="1">
      <c r="A41" s="4" t="inlineStr">
        <is>
          <t>KYC-001</t>
        </is>
      </c>
      <c r="B41" s="4" t="inlineStr">
        <is>
          <t>Req 6: Immediate Upgrade Tier 1 to Tier 2</t>
        </is>
      </c>
      <c r="C41" s="5" t="inlineStr">
        <is>
          <t>KYC Upgrade</t>
        </is>
      </c>
      <c r="D41" s="5" t="inlineStr">
        <is>
          <t>Tier upgrade immediately unlocks Tier 2 limits for instant transfers</t>
        </is>
      </c>
      <c r="E41" s="5" t="inlineStr">
        <is>
          <t>Tier 1 account, daily limit 50k exhausted today (0 remaining)</t>
        </is>
      </c>
      <c r="F41" s="5" t="inlineStr">
        <is>
          <t>KYC Verification approval for Tier 2</t>
        </is>
      </c>
      <c r="G41" s="5" t="inlineStr">
        <is>
          <t>1. Admin/KYC engine approves Tier 2 upgrade at 14:00.
2. User immediately initiates 100,000 transfer at 14:02.</t>
        </is>
      </c>
      <c r="H41" s="5" t="inlineStr">
        <is>
          <t>Tier 2 limits apply instantly! Daily limit becomes 500,000. Remaining limit recalculated to 450,000 (500k - 50k spent). Transfer succeeds.</t>
        </is>
      </c>
      <c r="I41" s="4" t="inlineStr">
        <is>
          <t>Critical</t>
        </is>
      </c>
      <c r="J41" s="5" t="inlineStr">
        <is>
          <t>Functional, State-Based</t>
        </is>
      </c>
    </row>
    <row r="42" ht="45" customHeight="1">
      <c r="A42" s="2" t="inlineStr">
        <is>
          <t>KYC-002</t>
        </is>
      </c>
      <c r="B42" s="2" t="inlineStr">
        <is>
          <t>Req 6: Upgrade During Pending Transfer</t>
        </is>
      </c>
      <c r="C42" s="3" t="inlineStr">
        <is>
          <t>KYC Upgrade</t>
        </is>
      </c>
      <c r="D42" s="3" t="inlineStr">
        <is>
          <t>Pending transfer initiated under Tier 1 completes while account upgrades to Tier 2</t>
        </is>
      </c>
      <c r="E42" s="3" t="inlineStr">
        <is>
          <t>Tier 1 account, Tx1 (20,000) is PENDING</t>
        </is>
      </c>
      <c r="F42" s="3" t="inlineStr">
        <is>
          <t>KYC Upgrade to Tier 2 approved while Tx1 is PENDING</t>
        </is>
      </c>
      <c r="G42" s="3" t="inlineStr">
        <is>
          <t>1. Initiate Tx1 (20k PENDING).
2. Upgrade user to Tier 2.
3. Tx1 settles as SUCCESSFUL.
4. Initiate Tx2 (150k).</t>
        </is>
      </c>
      <c r="H42" s="3" t="inlineStr">
        <is>
          <t>Tx1 settles under original rules. Account now reflects Tier 2. Tx2 (150k) succeeds as Tier 2 limit is active.</t>
        </is>
      </c>
      <c r="I42" s="2" t="inlineStr">
        <is>
          <t>High</t>
        </is>
      </c>
      <c r="J42" s="3" t="inlineStr">
        <is>
          <t>Integration, Race Condition</t>
        </is>
      </c>
    </row>
    <row r="43" ht="45" customHeight="1">
      <c r="A43" s="4" t="inlineStr">
        <is>
          <t>KYC-003</t>
        </is>
      </c>
      <c r="B43" s="4" t="inlineStr">
        <is>
          <t>Req 6 &amp; 5: KYC Upgrade Before Scheduled Transfer</t>
        </is>
      </c>
      <c r="C43" s="5" t="inlineStr">
        <is>
          <t>KYC Upgrade</t>
        </is>
      </c>
      <c r="D43" s="5" t="inlineStr">
        <is>
          <t>Scheduled transfer created under Tier 1 executes using Tier 2 limits after upgrade</t>
        </is>
      </c>
      <c r="E43" s="5" t="inlineStr">
        <is>
          <t>Tier 1 account, user schedules 100,000 transfer (valid for Tier 2 but created after upgrade or scheduled pending upgrade)</t>
        </is>
      </c>
      <c r="F43" s="5" t="inlineStr">
        <is>
          <t>Scheduled Tx = 100,000</t>
        </is>
      </c>
      <c r="G43" s="5" t="inlineStr">
        <is>
          <t>1. User upgrades to Tier 2.
2. Schedules 100k transfer for next day.
3. At 08:00 AM next day, scheduler executes.</t>
        </is>
      </c>
      <c r="H43" s="5" t="inlineStr">
        <is>
          <t>Transfer executes successfully under Tier 2 rules.</t>
        </is>
      </c>
      <c r="I43" s="4" t="inlineStr">
        <is>
          <t>High</t>
        </is>
      </c>
      <c r="J43" s="5" t="inlineStr">
        <is>
          <t>Functional</t>
        </is>
      </c>
    </row>
    <row r="44" ht="45" customHeight="1">
      <c r="A44" s="2" t="inlineStr">
        <is>
          <t>KYC-004</t>
        </is>
      </c>
      <c r="B44" s="2" t="inlineStr">
        <is>
          <t>Req 6: Consecutive Upgrades (Tier 1 -&gt; Tier 2 -&gt; Tier 3)</t>
        </is>
      </c>
      <c r="C44" s="3" t="inlineStr">
        <is>
          <t>KYC Upgrade</t>
        </is>
      </c>
      <c r="D44" s="3" t="inlineStr">
        <is>
          <t>Consecutive upgrades within same day recalculate remaining daily limit correctly</t>
        </is>
      </c>
      <c r="E44" s="3" t="inlineStr">
        <is>
          <t>Tier 1 user spends 30,000. Upgrades to Tier 2 (spent 30k, remaining 470k). Spends 200,000 more. Upgrades to Tier 3.</t>
        </is>
      </c>
      <c r="F44" s="3" t="inlineStr">
        <is>
          <t>Upgrades T1 -&gt; T2 -&gt; T3 in 1 day</t>
        </is>
      </c>
      <c r="G44" s="3" t="inlineStr">
        <is>
          <t>1. T1 spent 30k.
2. Upgrade T2 -&gt; spent 30k, remaining 470k.
3. T2 spent 200k (total spent 230k).
4. Upgrade T3 -&gt; spent 230k, remaining limit = 4,770,000.00.
5. Initiate 1,000,000 transfer.</t>
        </is>
      </c>
      <c r="H44" s="3" t="inlineStr">
        <is>
          <t>Transfer of 1,000,000 completes successfully under Tier 3 rules.</t>
        </is>
      </c>
      <c r="I44" s="2" t="inlineStr">
        <is>
          <t>Critical</t>
        </is>
      </c>
      <c r="J44" s="3" t="inlineStr">
        <is>
          <t>Functional, Complex Flow</t>
        </is>
      </c>
    </row>
    <row r="45" ht="45" customHeight="1">
      <c r="A45" s="4" t="inlineStr">
        <is>
          <t>ERR-001</t>
        </is>
      </c>
      <c r="B45" s="4" t="inlineStr">
        <is>
          <t>Req 7: Error Message Accuracy - Daily Limit Exceeded</t>
        </is>
      </c>
      <c r="C45" s="5" t="inlineStr">
        <is>
          <t>Error Handling</t>
        </is>
      </c>
      <c r="D45" s="5" t="inlineStr">
        <is>
          <t>Error message explicitly details available remaining daily limit</t>
        </is>
      </c>
      <c r="E45" s="5" t="inlineStr">
        <is>
          <t>Tier 1 account, spent 42,000 today. Remaining limit = 8,000.00</t>
        </is>
      </c>
      <c r="F45" s="5" t="inlineStr">
        <is>
          <t>Recipient Wallet: W-102, Amount = 10,000.00</t>
        </is>
      </c>
      <c r="G45" s="5" t="inlineStr">
        <is>
          <t>1. Attempt transfer of 10,000.00.</t>
        </is>
      </c>
      <c r="H45" s="5" t="inlineStr">
        <is>
          <t>Error prompt displayed: 'Transaction rejected. Remaining daily limit is 8,000.00'. Exact remaining amount is shown.</t>
        </is>
      </c>
      <c r="I45" s="4" t="inlineStr">
        <is>
          <t>Critical</t>
        </is>
      </c>
      <c r="J45" s="5" t="inlineStr">
        <is>
          <t>UI, Functional</t>
        </is>
      </c>
    </row>
    <row r="46" ht="45" customHeight="1">
      <c r="A46" s="2" t="inlineStr">
        <is>
          <t>ERR-002</t>
        </is>
      </c>
      <c r="B46" s="2" t="inlineStr">
        <is>
          <t>Req 7: Zero Limit Deduction on Rejection</t>
        </is>
      </c>
      <c r="C46" s="3" t="inlineStr">
        <is>
          <t>Error Handling</t>
        </is>
      </c>
      <c r="D46" s="3" t="inlineStr">
        <is>
          <t>Rejected transaction does not debit user balance or consume daily limit</t>
        </is>
      </c>
      <c r="E46" s="3" t="inlineStr">
        <is>
          <t>Tier 1 account, spent 40,000. Remaining limit = 10,000</t>
        </is>
      </c>
      <c r="F46" s="3" t="inlineStr">
        <is>
          <t>Attempt transfer: 15,000</t>
        </is>
      </c>
      <c r="G46" s="3" t="inlineStr">
        <is>
          <t>1. Submit rejected transfer.
2. Query user balance and remaining daily limit.</t>
        </is>
      </c>
      <c r="H46" s="3" t="inlineStr">
        <is>
          <t>Balance remains unchanged. Remaining daily limit stays exactly 10,000.00.</t>
        </is>
      </c>
      <c r="I46" s="2" t="inlineStr">
        <is>
          <t>Critical</t>
        </is>
      </c>
      <c r="J46" s="3" t="inlineStr">
        <is>
          <t>Data Integrity</t>
        </is>
      </c>
    </row>
    <row r="47" ht="45" customHeight="1">
      <c r="A47" s="4" t="inlineStr">
        <is>
          <t>ERR-003</t>
        </is>
      </c>
      <c r="B47" s="4" t="inlineStr">
        <is>
          <t>Req 7: Error Message Accuracy - Per Tx Limit</t>
        </is>
      </c>
      <c r="C47" s="5" t="inlineStr">
        <is>
          <t>Error Handling</t>
        </is>
      </c>
      <c r="D47" s="5" t="inlineStr">
        <is>
          <t>Error message explicitly details per-transaction limit breach</t>
        </is>
      </c>
      <c r="E47" s="5" t="inlineStr">
        <is>
          <t>Tier 1 account, 0 spent today</t>
        </is>
      </c>
      <c r="F47" s="5" t="inlineStr">
        <is>
          <t>Attempt transfer: 25,000</t>
        </is>
      </c>
      <c r="G47" s="5" t="inlineStr">
        <is>
          <t>1. Submit transfer of 25,000.</t>
        </is>
      </c>
      <c r="H47" s="5" t="inlineStr">
        <is>
          <t>Error prompt: 'Transaction rejected. Maximum allowed per transaction for Tier 1 is 20,000.00'.</t>
        </is>
      </c>
      <c r="I47" s="4" t="inlineStr">
        <is>
          <t>High</t>
        </is>
      </c>
      <c r="J47" s="5" t="inlineStr">
        <is>
          <t>UI, Functional</t>
        </is>
      </c>
    </row>
    <row r="48" ht="45" customHeight="1">
      <c r="A48" s="2" t="inlineStr">
        <is>
          <t>STT-001</t>
        </is>
      </c>
      <c r="B48" s="2" t="inlineStr">
        <is>
          <t>State Transition: DRAFT -&gt; PENDING -&gt; SUCCESSFUL</t>
        </is>
      </c>
      <c r="C48" s="3" t="inlineStr">
        <is>
          <t>State Machine</t>
        </is>
      </c>
      <c r="D48" s="3" t="inlineStr">
        <is>
          <t>Normal successful transfer state lifecycle</t>
        </is>
      </c>
      <c r="E48" s="3" t="inlineStr">
        <is>
          <t>Tier 1 account</t>
        </is>
      </c>
      <c r="F48" s="3" t="inlineStr">
        <is>
          <t>Transfer 5,000</t>
        </is>
      </c>
      <c r="G48" s="3" t="inlineStr">
        <is>
          <t>1. Initiate transfer (DRAFT).
2. Submit PIN (PENDING).
3. Processing completes (SUCCESSFUL).</t>
        </is>
      </c>
      <c r="H48" s="3" t="inlineStr">
        <is>
          <t>Limit debited upon PENDING state. Remains debited on SUCCESSFUL.</t>
        </is>
      </c>
      <c r="I48" s="2" t="inlineStr">
        <is>
          <t>High</t>
        </is>
      </c>
      <c r="J48" s="3" t="inlineStr">
        <is>
          <t>State-Based</t>
        </is>
      </c>
    </row>
    <row r="49" ht="45" customHeight="1">
      <c r="A49" s="4" t="inlineStr">
        <is>
          <t>STT-002</t>
        </is>
      </c>
      <c r="B49" s="4" t="inlineStr">
        <is>
          <t>State Transition: DRAFT -&gt; PENDING -&gt; FAILED</t>
        </is>
      </c>
      <c r="C49" s="5" t="inlineStr">
        <is>
          <t>State Machine</t>
        </is>
      </c>
      <c r="D49" s="5" t="inlineStr">
        <is>
          <t>Failed transfer lifecycle and limit rollback</t>
        </is>
      </c>
      <c r="E49" s="5" t="inlineStr">
        <is>
          <t>Tier 1 account</t>
        </is>
      </c>
      <c r="F49" s="5" t="inlineStr">
        <is>
          <t>Transfer 5,000 to invalid bank</t>
        </is>
      </c>
      <c r="G49" s="5" t="inlineStr">
        <is>
          <t>1. Initiate transfer (DRAFT).
2. Submit (PENDING).
3. Gateway returns failure (FAILED).</t>
        </is>
      </c>
      <c r="H49" s="5" t="inlineStr">
        <is>
          <t>Limit debited during PENDING, fully restored immediately upon FAILED transition.</t>
        </is>
      </c>
      <c r="I49" s="4" t="inlineStr">
        <is>
          <t>High</t>
        </is>
      </c>
      <c r="J49" s="5" t="inlineStr">
        <is>
          <t>State-Based</t>
        </is>
      </c>
    </row>
    <row r="50" ht="45" customHeight="1">
      <c r="A50" s="2" t="inlineStr">
        <is>
          <t>STT-003</t>
        </is>
      </c>
      <c r="B50" s="2" t="inlineStr">
        <is>
          <t>State Transition: SCHEDULED -&gt; CANCELLED</t>
        </is>
      </c>
      <c r="C50" s="3" t="inlineStr">
        <is>
          <t>State Machine</t>
        </is>
      </c>
      <c r="D50" s="3" t="inlineStr">
        <is>
          <t>User cancels scheduled transfer before execution time</t>
        </is>
      </c>
      <c r="E50" s="3" t="inlineStr">
        <is>
          <t>Tier 1 account, Scheduled Tx = 10,000 for tomorrow</t>
        </is>
      </c>
      <c r="F50" s="3" t="inlineStr">
        <is>
          <t>Scheduled Tx ID: SCH-5001</t>
        </is>
      </c>
      <c r="G50" s="3" t="inlineStr">
        <is>
          <t>1. User views scheduled transactions list.
2. Clicks 'Cancel Transfer'.
3. Confirms cancellation.</t>
        </is>
      </c>
      <c r="H50" s="3" t="inlineStr">
        <is>
          <t>Status changes to CANCELLED. No impact on future daily limit execution.</t>
        </is>
      </c>
      <c r="I50" s="2" t="inlineStr">
        <is>
          <t>Medium</t>
        </is>
      </c>
      <c r="J50" s="3" t="inlineStr">
        <is>
          <t>Functional, UI</t>
        </is>
      </c>
    </row>
    <row r="51" ht="45" customHeight="1">
      <c r="A51" s="4" t="inlineStr">
        <is>
          <t>EDG-001</t>
        </is>
      </c>
      <c r="B51" s="4" t="inlineStr">
        <is>
          <t>Concurrency / Race Condition</t>
        </is>
      </c>
      <c r="C51" s="5" t="inlineStr">
        <is>
          <t>Edge Cases</t>
        </is>
      </c>
      <c r="D51" s="5" t="inlineStr">
        <is>
          <t>Simultaneous transfer submissions exceeding remaining daily limit</t>
        </is>
      </c>
      <c r="E51" s="5" t="inlineStr">
        <is>
          <t>Tier 1 account, remaining daily limit = 20,000.00</t>
        </is>
      </c>
      <c r="F51" s="5" t="inlineStr">
        <is>
          <t>Two concurrent requests: Request A = 15,000, Request B = 15,000</t>
        </is>
      </c>
      <c r="G51" s="5" t="inlineStr">
        <is>
          <t>1. Send Request A and Request B simultaneously via automated script at exact same millisecond.</t>
        </is>
      </c>
      <c r="H51" s="5" t="inlineStr">
        <is>
          <t>Database locking/isolation prevents double spending. Exactly ONE request succeeds (15,000), and the other is rejected with limit error.</t>
        </is>
      </c>
      <c r="I51" s="4" t="inlineStr">
        <is>
          <t>Critical</t>
        </is>
      </c>
      <c r="J51" s="5" t="inlineStr">
        <is>
          <t>Concurrency, Security</t>
        </is>
      </c>
    </row>
    <row r="52" ht="45" customHeight="1">
      <c r="A52" s="2" t="inlineStr">
        <is>
          <t>EDG-002</t>
        </is>
      </c>
      <c r="B52" s="2" t="inlineStr">
        <is>
          <t>Concurrency / KYC Upgrade</t>
        </is>
      </c>
      <c r="C52" s="3" t="inlineStr">
        <is>
          <t>Edge Cases</t>
        </is>
      </c>
      <c r="D52" s="3" t="inlineStr">
        <is>
          <t>Simultaneous KYC upgrade and transfer execution</t>
        </is>
      </c>
      <c r="E52" s="3" t="inlineStr">
        <is>
          <t>Tier 1 account, remaining limit = 5,000</t>
        </is>
      </c>
      <c r="F52" s="3" t="inlineStr">
        <is>
          <t>Request A: KYC Upgrade to Tier 2, Request B: 50,000 transfer</t>
        </is>
      </c>
      <c r="G52" s="3" t="inlineStr">
        <is>
          <t>1. Execute KYC upgrade API call and 50,000 transfer API call concurrently.</t>
        </is>
      </c>
      <c r="H52" s="3" t="inlineStr">
        <is>
          <t>System maintains transaction consistency; transfer either succeeds (if upgrade commits first) or rejects cleanly (if transfer commits first). No system error.</t>
        </is>
      </c>
      <c r="I52" s="2" t="inlineStr">
        <is>
          <t>High</t>
        </is>
      </c>
      <c r="J52" s="3" t="inlineStr">
        <is>
          <t>Concurrency, Edge Case</t>
        </is>
      </c>
    </row>
    <row r="53" ht="45" customHeight="1">
      <c r="A53" s="4" t="inlineStr">
        <is>
          <t>EDG-003</t>
        </is>
      </c>
      <c r="B53" s="4" t="inlineStr">
        <is>
          <t>Midnight Conflict with Processing Tx</t>
        </is>
      </c>
      <c r="C53" s="5" t="inlineStr">
        <is>
          <t>Edge Cases</t>
        </is>
      </c>
      <c r="D53" s="5" t="inlineStr">
        <is>
          <t>Transaction initiated at 23:59:59 finishes processing at 00:00:02</t>
        </is>
      </c>
      <c r="E53" s="5" t="inlineStr">
        <is>
          <t>Tier 1 account, Day 1 limit remaining = 10,000</t>
        </is>
      </c>
      <c r="F53" s="5" t="inlineStr">
        <is>
          <t>Tx1: 10,000 submitted at 23:59:59</t>
        </is>
      </c>
      <c r="G53" s="5" t="inlineStr">
        <is>
          <t>1. Initiate Tx1 (10,000) at 23:59:59 (Day 1).
2. Bank processing delays completion to 00:00:02 (Day 2).</t>
        </is>
      </c>
      <c r="H53" s="5" t="inlineStr">
        <is>
          <t>Encumbrance recorded against Day 1 daily limit. Day 2 limit starts fresh at 50,000.00 without being debited by Day 1's late-settling transaction.</t>
        </is>
      </c>
      <c r="I53" s="4" t="inlineStr">
        <is>
          <t>Critical</t>
        </is>
      </c>
      <c r="J53" s="5" t="inlineStr">
        <is>
          <t>Edge Case, Time-Based</t>
        </is>
      </c>
    </row>
    <row r="54" ht="45" customHeight="1">
      <c r="A54" s="2" t="inlineStr">
        <is>
          <t>EDG-004</t>
        </is>
      </c>
      <c r="B54" s="2" t="inlineStr">
        <is>
          <t>Idempotency / Network Retry</t>
        </is>
      </c>
      <c r="C54" s="3" t="inlineStr">
        <is>
          <t>Edge Cases</t>
        </is>
      </c>
      <c r="D54" s="3" t="inlineStr">
        <is>
          <t>Network timeout causes mobile app to retry identical transfer payload</t>
        </is>
      </c>
      <c r="E54" s="3" t="inlineStr">
        <is>
          <t>Tier 1 account, balance = 50,000</t>
        </is>
      </c>
      <c r="F54" s="3" t="inlineStr">
        <is>
          <t>Transfer payload with Idempotency Key ID-998877, Amount = 15,000</t>
        </is>
      </c>
      <c r="G54" s="3" t="inlineStr">
        <is>
          <t>1. Submit transfer ID-998877.
2. Simulate network drop on client response.
3. Mobile app auto-retries sending identical request ID-998877.</t>
        </is>
      </c>
      <c r="H54" s="3" t="inlineStr">
        <is>
          <t>System processes transfer exactly ONCE. Second attempt returns original success response without double-debiting balance or daily limit.</t>
        </is>
      </c>
      <c r="I54" s="2" t="inlineStr">
        <is>
          <t>Critical</t>
        </is>
      </c>
      <c r="J54" s="3" t="inlineStr">
        <is>
          <t>Reliability, API</t>
        </is>
      </c>
    </row>
    <row r="55" ht="45" customHeight="1">
      <c r="A55" s="4" t="inlineStr">
        <is>
          <t>EDG-005</t>
        </is>
      </c>
      <c r="B55" s="4" t="inlineStr">
        <is>
          <t>Max Integer Amount Handling</t>
        </is>
      </c>
      <c r="C55" s="5" t="inlineStr">
        <is>
          <t>Edge Cases</t>
        </is>
      </c>
      <c r="D55" s="5" t="inlineStr">
        <is>
          <t>Submission of extreme numeric amount (999,999,999,999.99)</t>
        </is>
      </c>
      <c r="E55" s="5" t="inlineStr">
        <is>
          <t>Tier 3 account</t>
        </is>
      </c>
      <c r="F55" s="5" t="inlineStr">
        <is>
          <t>Amount = 999,999,999,999.99</t>
        </is>
      </c>
      <c r="G55" s="5" t="inlineStr">
        <is>
          <t>1. Attempt transfer with extreme numeric value.</t>
        </is>
      </c>
      <c r="H55" s="5" t="inlineStr">
        <is>
          <t>System gracefully handles numeric limits without integer overflow. Rejects with insufficient balance or max transaction limit validation.</t>
        </is>
      </c>
      <c r="I55" s="4" t="inlineStr">
        <is>
          <t>Medium</t>
        </is>
      </c>
      <c r="J55" s="5" t="inlineStr">
        <is>
          <t>Security, Boundary</t>
        </is>
      </c>
    </row>
    <row r="56" ht="45" customHeight="1">
      <c r="A56" s="2" t="inlineStr">
        <is>
          <t>NFT-001</t>
        </is>
      </c>
      <c r="B56" s="2" t="inlineStr">
        <is>
          <t>Performance &amp; Latency</t>
        </is>
      </c>
      <c r="C56" s="3" t="inlineStr">
        <is>
          <t>Non-Functional</t>
        </is>
      </c>
      <c r="D56" s="3" t="inlineStr">
        <is>
          <t>Daily limit calculation latency under heavy load</t>
        </is>
      </c>
      <c r="E56" s="3" t="inlineStr">
        <is>
          <t>System under load of 1,000 requests/sec</t>
        </is>
      </c>
      <c r="F56" s="3" t="inlineStr">
        <is>
          <t>Standard transfer requests across multiple users</t>
        </is>
      </c>
      <c r="G56" s="3" t="inlineStr">
        <is>
          <t>1. Execute load test simulating 1,000 simultaneous daily limit check requests.</t>
        </is>
      </c>
      <c r="H56" s="3" t="inlineStr">
        <is>
          <t>99th percentile response time for limit evaluation and validation remains &lt; 100ms.</t>
        </is>
      </c>
      <c r="I56" s="2" t="inlineStr">
        <is>
          <t>High</t>
        </is>
      </c>
      <c r="J56" s="3" t="inlineStr">
        <is>
          <t>Performance</t>
        </is>
      </c>
    </row>
    <row r="57" ht="45" customHeight="1">
      <c r="A57" s="4" t="inlineStr">
        <is>
          <t>NFT-002</t>
        </is>
      </c>
      <c r="B57" s="4" t="inlineStr">
        <is>
          <t>Audit Logging &amp; Compliance</t>
        </is>
      </c>
      <c r="C57" s="5" t="inlineStr">
        <is>
          <t>Non-Functional</t>
        </is>
      </c>
      <c r="D57" s="5" t="inlineStr">
        <is>
          <t>Audit trail for limit rejections and KYC tier upgrades</t>
        </is>
      </c>
      <c r="E57" s="5" t="inlineStr">
        <is>
          <t>Tier 1 account</t>
        </is>
      </c>
      <c r="F57" s="5" t="inlineStr">
        <is>
          <t>KYC upgrade event and limit rejection event</t>
        </is>
      </c>
      <c r="G57" s="5" t="inlineStr">
        <is>
          <t>1. Perform Tier upgrade.
2. Attempt blocked transfer.
3. Inspect system audit logs.</t>
        </is>
      </c>
      <c r="H57" s="5" t="inlineStr">
        <is>
          <t>Audit log records user_id, timestamp, previous_tier, new_tier, attempt_amount, remaining_limit, and exact failure reason.</t>
        </is>
      </c>
      <c r="I57" s="4" t="inlineStr">
        <is>
          <t>Critical</t>
        </is>
      </c>
      <c r="J57" s="5" t="inlineStr">
        <is>
          <t>Security, Audit</t>
        </is>
      </c>
    </row>
    <row r="58" ht="45" customHeight="1">
      <c r="A58" s="2" t="inlineStr">
        <is>
          <t>NFT-003</t>
        </is>
      </c>
      <c r="B58" s="2" t="inlineStr">
        <is>
          <t>Data Integrity</t>
        </is>
      </c>
      <c r="C58" s="3" t="inlineStr">
        <is>
          <t>Non-Functional</t>
        </is>
      </c>
      <c r="D58" s="3" t="inlineStr">
        <is>
          <t>Database rollbacks on service failure during multi-step transfer</t>
        </is>
      </c>
      <c r="E58" s="3" t="inlineStr">
        <is>
          <t>Tier 2 account</t>
        </is>
      </c>
      <c r="F58" s="3" t="inlineStr">
        <is>
          <t>Transfer 50,000. Debit succeeds, ledger service fails.</t>
        </is>
      </c>
      <c r="G58" s="3" t="inlineStr">
        <is>
          <t>1. Mock ledger service failure during transfer transaction execution.</t>
        </is>
      </c>
      <c r="H58" s="3" t="inlineStr">
        <is>
          <t>Database transaction rolls back completely. Daily limit encumbrance is released, balance is restored.</t>
        </is>
      </c>
      <c r="I58" s="2" t="inlineStr">
        <is>
          <t>Critical</t>
        </is>
      </c>
      <c r="J58" s="3" t="inlineStr">
        <is>
          <t>Data Integrity, Reliability</t>
        </is>
      </c>
    </row>
    <row r="59" ht="45" customHeight="1">
      <c r="A59" s="4" t="inlineStr">
        <is>
          <t>NFT-004</t>
        </is>
      </c>
      <c r="B59" s="4" t="inlineStr">
        <is>
          <t>Security - Parameter Tampering</t>
        </is>
      </c>
      <c r="C59" s="5" t="inlineStr">
        <is>
          <t>Non-Functional</t>
        </is>
      </c>
      <c r="D59" s="5" t="inlineStr">
        <is>
          <t>Tampering with tier parameter in transfer payload</t>
        </is>
      </c>
      <c r="E59" s="5" t="inlineStr">
        <is>
          <t>Tier 1 account user</t>
        </is>
      </c>
      <c r="F59" s="5" t="inlineStr">
        <is>
          <t>API payload modified to force 'tier': 'TIER_3'</t>
        </is>
      </c>
      <c r="G59" s="5" t="inlineStr">
        <is>
          <t>1. Intercept transfer API request.
2. Alter payload parameter 'user_tier' from 1 to 3.
3. Send request.</t>
        </is>
      </c>
      <c r="H59" s="5" t="inlineStr">
        <is>
          <t>Backend ignores client-supplied tier parameter, evaluates user's actual tier from database, and rejects transfer exceeding Tier 1 limits.</t>
        </is>
      </c>
      <c r="I59" s="4" t="inlineStr">
        <is>
          <t>Critical</t>
        </is>
      </c>
      <c r="J59" s="5" t="inlineStr">
        <is>
          <t>Security, API</t>
        </is>
      </c>
    </row>
    <row r="60" ht="45" customHeight="1">
      <c r="A60" s="2" t="inlineStr">
        <is>
          <t>TL1-101</t>
        </is>
      </c>
      <c r="B60" s="2" t="inlineStr">
        <is>
          <t>Req 1: Tier 1 Standard Matrix</t>
        </is>
      </c>
      <c r="C60" s="3" t="inlineStr">
        <is>
          <t>Tier 1 Limits</t>
        </is>
      </c>
      <c r="D60" s="3" t="inlineStr">
        <is>
          <t>Systematic BVA Matrix: Tier 1 transfer sequence validation #2</t>
        </is>
      </c>
      <c r="E60" s="3" t="inlineStr">
        <is>
          <t>Tier 1 active user, verified KYC status</t>
        </is>
      </c>
      <c r="F60" s="3" t="inlineStr">
        <is>
          <t>Transfer Amount = 2000.00</t>
        </is>
      </c>
      <c r="G60" s="3" t="inlineStr">
        <is>
          <t>1. Check initial remaining limit.
2. Submit transfer of amount.
3. Verify response and remaining limit deduction.</t>
        </is>
      </c>
      <c r="H60" s="3" t="inlineStr">
        <is>
          <t>Transaction processed correctly in accordance with Tier 1 rules. Remaining limit calculated accurately.</t>
        </is>
      </c>
      <c r="I60" s="2" t="inlineStr">
        <is>
          <t>High</t>
        </is>
      </c>
      <c r="J60" s="3" t="inlineStr">
        <is>
          <t>Functional, Regression</t>
        </is>
      </c>
    </row>
    <row r="61" ht="45" customHeight="1">
      <c r="A61" s="4" t="inlineStr">
        <is>
          <t>TL1-102</t>
        </is>
      </c>
      <c r="B61" s="4" t="inlineStr">
        <is>
          <t>Req 1: Tier 2 Standard Matrix</t>
        </is>
      </c>
      <c r="C61" s="5" t="inlineStr">
        <is>
          <t>Tier 1 Limits</t>
        </is>
      </c>
      <c r="D61" s="5" t="inlineStr">
        <is>
          <t>Systematic BVA Matrix: Tier 2 transfer sequence validation #3</t>
        </is>
      </c>
      <c r="E61" s="5" t="inlineStr">
        <is>
          <t>Tier 2 active user, verified KYC status</t>
        </is>
      </c>
      <c r="F61" s="5" t="inlineStr">
        <is>
          <t>Transfer Amount = 3000.00</t>
        </is>
      </c>
      <c r="G61" s="5" t="inlineStr">
        <is>
          <t>1. Check initial remaining limit.
2. Submit transfer of amount.
3. Verify response and remaining limit deduction.</t>
        </is>
      </c>
      <c r="H61" s="5" t="inlineStr">
        <is>
          <t>Transaction processed correctly in accordance with Tier 2 rules. Remaining limit calculated accurately.</t>
        </is>
      </c>
      <c r="I61" s="4" t="inlineStr">
        <is>
          <t>Medium</t>
        </is>
      </c>
      <c r="J61" s="5" t="inlineStr">
        <is>
          <t>Functional, Regression</t>
        </is>
      </c>
    </row>
    <row r="62" ht="45" customHeight="1">
      <c r="A62" s="2" t="inlineStr">
        <is>
          <t>TL1-103</t>
        </is>
      </c>
      <c r="B62" s="2" t="inlineStr">
        <is>
          <t>Req 1: Tier 3 Standard Matrix</t>
        </is>
      </c>
      <c r="C62" s="3" t="inlineStr">
        <is>
          <t>Tier 1 Limits</t>
        </is>
      </c>
      <c r="D62" s="3" t="inlineStr">
        <is>
          <t>Systematic BVA Matrix: Tier 3 transfer sequence validation #4</t>
        </is>
      </c>
      <c r="E62" s="3" t="inlineStr">
        <is>
          <t>Tier 3 active user, verified KYC status</t>
        </is>
      </c>
      <c r="F62" s="3" t="inlineStr">
        <is>
          <t>Transfer Amount = 4000.00</t>
        </is>
      </c>
      <c r="G62" s="3" t="inlineStr">
        <is>
          <t>1. Check initial remaining limit.
2. Submit transfer of amount.
3. Verify response and remaining limit deduction.</t>
        </is>
      </c>
      <c r="H62" s="3" t="inlineStr">
        <is>
          <t>Transaction processed correctly in accordance with Tier 3 rules. Remaining limit calculated accurately.</t>
        </is>
      </c>
      <c r="I62" s="2" t="inlineStr">
        <is>
          <t>High</t>
        </is>
      </c>
      <c r="J62" s="3" t="inlineStr">
        <is>
          <t>Functional, Regression</t>
        </is>
      </c>
    </row>
    <row r="63" ht="45" customHeight="1">
      <c r="A63" s="4" t="inlineStr">
        <is>
          <t>TL2-104</t>
        </is>
      </c>
      <c r="B63" s="4" t="inlineStr">
        <is>
          <t>Req 1: Tier 1 Standard Matrix</t>
        </is>
      </c>
      <c r="C63" s="5" t="inlineStr">
        <is>
          <t>Tier 2 Limits</t>
        </is>
      </c>
      <c r="D63" s="5" t="inlineStr">
        <is>
          <t>Systematic BVA Matrix: Tier 1 transfer sequence validation #5</t>
        </is>
      </c>
      <c r="E63" s="5" t="inlineStr">
        <is>
          <t>Tier 1 active user, verified KYC status</t>
        </is>
      </c>
      <c r="F63" s="5" t="inlineStr">
        <is>
          <t>Transfer Amount = 5000.00</t>
        </is>
      </c>
      <c r="G63" s="5" t="inlineStr">
        <is>
          <t>1. Check initial remaining limit.
2. Submit transfer of amount.
3. Verify response and remaining limit deduction.</t>
        </is>
      </c>
      <c r="H63" s="5" t="inlineStr">
        <is>
          <t>Transaction processed correctly in accordance with Tier 1 rules. Remaining limit calculated accurately.</t>
        </is>
      </c>
      <c r="I63" s="4" t="inlineStr">
        <is>
          <t>Medium</t>
        </is>
      </c>
      <c r="J63" s="5" t="inlineStr">
        <is>
          <t>Functional, Regression</t>
        </is>
      </c>
    </row>
    <row r="64" ht="45" customHeight="1">
      <c r="A64" s="2" t="inlineStr">
        <is>
          <t>TL2-105</t>
        </is>
      </c>
      <c r="B64" s="2" t="inlineStr">
        <is>
          <t>Req 1: Tier 2 Standard Matrix</t>
        </is>
      </c>
      <c r="C64" s="3" t="inlineStr">
        <is>
          <t>Tier 2 Limits</t>
        </is>
      </c>
      <c r="D64" s="3" t="inlineStr">
        <is>
          <t>Systematic BVA Matrix: Tier 2 transfer sequence validation #6</t>
        </is>
      </c>
      <c r="E64" s="3" t="inlineStr">
        <is>
          <t>Tier 2 active user, verified KYC status</t>
        </is>
      </c>
      <c r="F64" s="3" t="inlineStr">
        <is>
          <t>Transfer Amount = 6000.00</t>
        </is>
      </c>
      <c r="G64" s="3" t="inlineStr">
        <is>
          <t>1. Check initial remaining limit.
2. Submit transfer of amount.
3. Verify response and remaining limit deduction.</t>
        </is>
      </c>
      <c r="H64" s="3" t="inlineStr">
        <is>
          <t>Transaction processed correctly in accordance with Tier 2 rules. Remaining limit calculated accurately.</t>
        </is>
      </c>
      <c r="I64" s="2" t="inlineStr">
        <is>
          <t>High</t>
        </is>
      </c>
      <c r="J64" s="3" t="inlineStr">
        <is>
          <t>Functional, Regression</t>
        </is>
      </c>
    </row>
    <row r="65" ht="45" customHeight="1">
      <c r="A65" s="4" t="inlineStr">
        <is>
          <t>TL2-106</t>
        </is>
      </c>
      <c r="B65" s="4" t="inlineStr">
        <is>
          <t>Req 1: Tier 3 Standard Matrix</t>
        </is>
      </c>
      <c r="C65" s="5" t="inlineStr">
        <is>
          <t>Tier 2 Limits</t>
        </is>
      </c>
      <c r="D65" s="5" t="inlineStr">
        <is>
          <t>Systematic BVA Matrix: Tier 3 transfer sequence validation #7</t>
        </is>
      </c>
      <c r="E65" s="5" t="inlineStr">
        <is>
          <t>Tier 3 active user, verified KYC status</t>
        </is>
      </c>
      <c r="F65" s="5" t="inlineStr">
        <is>
          <t>Transfer Amount = 7000.00</t>
        </is>
      </c>
      <c r="G65" s="5" t="inlineStr">
        <is>
          <t>1. Check initial remaining limit.
2. Submit transfer of amount.
3. Verify response and remaining limit deduction.</t>
        </is>
      </c>
      <c r="H65" s="5" t="inlineStr">
        <is>
          <t>Transaction processed correctly in accordance with Tier 3 rules. Remaining limit calculated accurately.</t>
        </is>
      </c>
      <c r="I65" s="4" t="inlineStr">
        <is>
          <t>Medium</t>
        </is>
      </c>
      <c r="J65" s="5" t="inlineStr">
        <is>
          <t>Functional, Regression</t>
        </is>
      </c>
    </row>
    <row r="66" ht="45" customHeight="1">
      <c r="A66" s="2" t="inlineStr">
        <is>
          <t>TL3-107</t>
        </is>
      </c>
      <c r="B66" s="2" t="inlineStr">
        <is>
          <t>Req 1: Tier 1 Standard Matrix</t>
        </is>
      </c>
      <c r="C66" s="3" t="inlineStr">
        <is>
          <t>Tier 3 Limits</t>
        </is>
      </c>
      <c r="D66" s="3" t="inlineStr">
        <is>
          <t>Systematic BVA Matrix: Tier 1 transfer sequence validation #8</t>
        </is>
      </c>
      <c r="E66" s="3" t="inlineStr">
        <is>
          <t>Tier 1 active user, verified KYC status</t>
        </is>
      </c>
      <c r="F66" s="3" t="inlineStr">
        <is>
          <t>Transfer Amount = 8000.00</t>
        </is>
      </c>
      <c r="G66" s="3" t="inlineStr">
        <is>
          <t>1. Check initial remaining limit.
2. Submit transfer of amount.
3. Verify response and remaining limit deduction.</t>
        </is>
      </c>
      <c r="H66" s="3" t="inlineStr">
        <is>
          <t>Transaction processed correctly in accordance with Tier 1 rules. Remaining limit calculated accurately.</t>
        </is>
      </c>
      <c r="I66" s="2" t="inlineStr">
        <is>
          <t>High</t>
        </is>
      </c>
      <c r="J66" s="3" t="inlineStr">
        <is>
          <t>Functional, Regression</t>
        </is>
      </c>
    </row>
    <row r="67" ht="45" customHeight="1">
      <c r="A67" s="4" t="inlineStr">
        <is>
          <t>TL3-108</t>
        </is>
      </c>
      <c r="B67" s="4" t="inlineStr">
        <is>
          <t>Req 1: Tier 2 Standard Matrix</t>
        </is>
      </c>
      <c r="C67" s="5" t="inlineStr">
        <is>
          <t>Tier 3 Limits</t>
        </is>
      </c>
      <c r="D67" s="5" t="inlineStr">
        <is>
          <t>Systematic BVA Matrix: Tier 2 transfer sequence validation #9</t>
        </is>
      </c>
      <c r="E67" s="5" t="inlineStr">
        <is>
          <t>Tier 2 active user, verified KYC status</t>
        </is>
      </c>
      <c r="F67" s="5" t="inlineStr">
        <is>
          <t>Transfer Amount = 9000.00</t>
        </is>
      </c>
      <c r="G67" s="5" t="inlineStr">
        <is>
          <t>1. Check initial remaining limit.
2. Submit transfer of amount.
3. Verify response and remaining limit deduction.</t>
        </is>
      </c>
      <c r="H67" s="5" t="inlineStr">
        <is>
          <t>Transaction processed correctly in accordance with Tier 2 rules. Remaining limit calculated accurately.</t>
        </is>
      </c>
      <c r="I67" s="4" t="inlineStr">
        <is>
          <t>Medium</t>
        </is>
      </c>
      <c r="J67" s="5" t="inlineStr">
        <is>
          <t>Functional, Regression</t>
        </is>
      </c>
    </row>
    <row r="68" ht="45" customHeight="1">
      <c r="A68" s="2" t="inlineStr">
        <is>
          <t>TL3-109</t>
        </is>
      </c>
      <c r="B68" s="2" t="inlineStr">
        <is>
          <t>Req 1: Tier 3 Standard Matrix</t>
        </is>
      </c>
      <c r="C68" s="3" t="inlineStr">
        <is>
          <t>Tier 3 Limits</t>
        </is>
      </c>
      <c r="D68" s="3" t="inlineStr">
        <is>
          <t>Systematic BVA Matrix: Tier 3 transfer sequence validation #10</t>
        </is>
      </c>
      <c r="E68" s="3" t="inlineStr">
        <is>
          <t>Tier 3 active user, verified KYC status</t>
        </is>
      </c>
      <c r="F68" s="3" t="inlineStr">
        <is>
          <t>Transfer Amount = 10000.00</t>
        </is>
      </c>
      <c r="G68" s="3" t="inlineStr">
        <is>
          <t>1. Check initial remaining limit.
2. Submit transfer of amount.
3. Verify response and remaining limit deduction.</t>
        </is>
      </c>
      <c r="H68" s="3" t="inlineStr">
        <is>
          <t>Transaction processed correctly in accordance with Tier 3 rules. Remaining limit calculated accurately.</t>
        </is>
      </c>
      <c r="I68" s="2" t="inlineStr">
        <is>
          <t>High</t>
        </is>
      </c>
      <c r="J68" s="3" t="inlineStr">
        <is>
          <t>Functional, Regression</t>
        </is>
      </c>
    </row>
    <row r="69" ht="45" customHeight="1">
      <c r="A69" s="4" t="inlineStr">
        <is>
          <t>SCH-110</t>
        </is>
      </c>
      <c r="B69" s="4" t="inlineStr">
        <is>
          <t>Req 5: Tier 1 Standard Matrix</t>
        </is>
      </c>
      <c r="C69" s="5" t="inlineStr">
        <is>
          <t>Scheduled Transfers</t>
        </is>
      </c>
      <c r="D69" s="5" t="inlineStr">
        <is>
          <t>Systematic BVA Matrix: Tier 1 transfer sequence validation #11</t>
        </is>
      </c>
      <c r="E69" s="5" t="inlineStr">
        <is>
          <t>Tier 1 active user, verified KYC status</t>
        </is>
      </c>
      <c r="F69" s="5" t="inlineStr">
        <is>
          <t>Transfer Amount = 11000.00</t>
        </is>
      </c>
      <c r="G69" s="5" t="inlineStr">
        <is>
          <t>1. Check initial remaining limit.
2. Submit transfer of amount.
3. Verify response and remaining limit deduction.</t>
        </is>
      </c>
      <c r="H69" s="5" t="inlineStr">
        <is>
          <t>Transaction processed correctly in accordance with Tier 1 rules. Remaining limit calculated accurately.</t>
        </is>
      </c>
      <c r="I69" s="4" t="inlineStr">
        <is>
          <t>Medium</t>
        </is>
      </c>
      <c r="J69" s="5" t="inlineStr">
        <is>
          <t>Functional, Regression</t>
        </is>
      </c>
    </row>
    <row r="70" ht="45" customHeight="1">
      <c r="A70" s="2" t="inlineStr">
        <is>
          <t>SCH-111</t>
        </is>
      </c>
      <c r="B70" s="2" t="inlineStr">
        <is>
          <t>Req 5: Tier 2 Standard Matrix</t>
        </is>
      </c>
      <c r="C70" s="3" t="inlineStr">
        <is>
          <t>Scheduled Transfers</t>
        </is>
      </c>
      <c r="D70" s="3" t="inlineStr">
        <is>
          <t>Systematic BVA Matrix: Tier 2 transfer sequence validation #12</t>
        </is>
      </c>
      <c r="E70" s="3" t="inlineStr">
        <is>
          <t>Tier 2 active user, verified KYC status</t>
        </is>
      </c>
      <c r="F70" s="3" t="inlineStr">
        <is>
          <t>Transfer Amount = 12000.00</t>
        </is>
      </c>
      <c r="G70" s="3" t="inlineStr">
        <is>
          <t>1. Check initial remaining limit.
2. Submit transfer of amount.
3. Verify response and remaining limit deduction.</t>
        </is>
      </c>
      <c r="H70" s="3" t="inlineStr">
        <is>
          <t>Transaction processed correctly in accordance with Tier 2 rules. Remaining limit calculated accurately.</t>
        </is>
      </c>
      <c r="I70" s="2" t="inlineStr">
        <is>
          <t>High</t>
        </is>
      </c>
      <c r="J70" s="3" t="inlineStr">
        <is>
          <t>Functional, Regression</t>
        </is>
      </c>
    </row>
    <row r="71" ht="45" customHeight="1">
      <c r="A71" s="4" t="inlineStr">
        <is>
          <t>SCH-112</t>
        </is>
      </c>
      <c r="B71" s="4" t="inlineStr">
        <is>
          <t>Req 5: Tier 3 Standard Matrix</t>
        </is>
      </c>
      <c r="C71" s="5" t="inlineStr">
        <is>
          <t>Scheduled Transfers</t>
        </is>
      </c>
      <c r="D71" s="5" t="inlineStr">
        <is>
          <t>Systematic BVA Matrix: Tier 3 transfer sequence validation #13</t>
        </is>
      </c>
      <c r="E71" s="5" t="inlineStr">
        <is>
          <t>Tier 3 active user, verified KYC status</t>
        </is>
      </c>
      <c r="F71" s="5" t="inlineStr">
        <is>
          <t>Transfer Amount = 13000.00</t>
        </is>
      </c>
      <c r="G71" s="5" t="inlineStr">
        <is>
          <t>1. Check initial remaining limit.
2. Submit transfer of amount.
3. Verify response and remaining limit deduction.</t>
        </is>
      </c>
      <c r="H71" s="5" t="inlineStr">
        <is>
          <t>Transaction processed correctly in accordance with Tier 3 rules. Remaining limit calculated accurately.</t>
        </is>
      </c>
      <c r="I71" s="4" t="inlineStr">
        <is>
          <t>Medium</t>
        </is>
      </c>
      <c r="J71" s="5" t="inlineStr">
        <is>
          <t>Functional, Regression</t>
        </is>
      </c>
    </row>
    <row r="72" ht="45" customHeight="1">
      <c r="A72" s="2" t="inlineStr">
        <is>
          <t>OWN-113</t>
        </is>
      </c>
      <c r="B72" s="2" t="inlineStr">
        <is>
          <t>Req 4: Tier 1 Standard Matrix</t>
        </is>
      </c>
      <c r="C72" s="3" t="inlineStr">
        <is>
          <t>Own Bank Account</t>
        </is>
      </c>
      <c r="D72" s="3" t="inlineStr">
        <is>
          <t>Systematic BVA Matrix: Tier 1 transfer sequence validation #14</t>
        </is>
      </c>
      <c r="E72" s="3" t="inlineStr">
        <is>
          <t>Tier 1 active user, verified KYC status</t>
        </is>
      </c>
      <c r="F72" s="3" t="inlineStr">
        <is>
          <t>Transfer Amount = 14000.00</t>
        </is>
      </c>
      <c r="G72" s="3" t="inlineStr">
        <is>
          <t>1. Check initial remaining limit.
2. Submit transfer of amount.
3. Verify response and remaining limit deduction.</t>
        </is>
      </c>
      <c r="H72" s="3" t="inlineStr">
        <is>
          <t>Transaction processed correctly in accordance with Tier 1 rules. Remaining limit calculated accurately.</t>
        </is>
      </c>
      <c r="I72" s="2" t="inlineStr">
        <is>
          <t>High</t>
        </is>
      </c>
      <c r="J72" s="3" t="inlineStr">
        <is>
          <t>Functional, Regression</t>
        </is>
      </c>
    </row>
    <row r="73" ht="45" customHeight="1">
      <c r="A73" s="4" t="inlineStr">
        <is>
          <t>OWN-114</t>
        </is>
      </c>
      <c r="B73" s="4" t="inlineStr">
        <is>
          <t>Req 4: Tier 2 Standard Matrix</t>
        </is>
      </c>
      <c r="C73" s="5" t="inlineStr">
        <is>
          <t>Own Bank Account</t>
        </is>
      </c>
      <c r="D73" s="5" t="inlineStr">
        <is>
          <t>Systematic BVA Matrix: Tier 2 transfer sequence validation #15</t>
        </is>
      </c>
      <c r="E73" s="5" t="inlineStr">
        <is>
          <t>Tier 2 active user, verified KYC status</t>
        </is>
      </c>
      <c r="F73" s="5" t="inlineStr">
        <is>
          <t>Transfer Amount = 15000.00</t>
        </is>
      </c>
      <c r="G73" s="5" t="inlineStr">
        <is>
          <t>1. Check initial remaining limit.
2. Submit transfer of amount.
3. Verify response and remaining limit deduction.</t>
        </is>
      </c>
      <c r="H73" s="5" t="inlineStr">
        <is>
          <t>Transaction processed correctly in accordance with Tier 2 rules. Remaining limit calculated accurately.</t>
        </is>
      </c>
      <c r="I73" s="4" t="inlineStr">
        <is>
          <t>Medium</t>
        </is>
      </c>
      <c r="J73" s="5" t="inlineStr">
        <is>
          <t>Functional, Regression</t>
        </is>
      </c>
    </row>
    <row r="74" ht="45" customHeight="1">
      <c r="A74" s="2" t="inlineStr">
        <is>
          <t>OWN-115</t>
        </is>
      </c>
      <c r="B74" s="2" t="inlineStr">
        <is>
          <t>Req 4: Tier 3 Standard Matrix</t>
        </is>
      </c>
      <c r="C74" s="3" t="inlineStr">
        <is>
          <t>Own Bank Account</t>
        </is>
      </c>
      <c r="D74" s="3" t="inlineStr">
        <is>
          <t>Systematic BVA Matrix: Tier 3 transfer sequence validation #16</t>
        </is>
      </c>
      <c r="E74" s="3" t="inlineStr">
        <is>
          <t>Tier 3 active user, verified KYC status</t>
        </is>
      </c>
      <c r="F74" s="3" t="inlineStr">
        <is>
          <t>Transfer Amount = 16000.00</t>
        </is>
      </c>
      <c r="G74" s="3" t="inlineStr">
        <is>
          <t>1. Check initial remaining limit.
2. Submit transfer of amount.
3. Verify response and remaining limit deduction.</t>
        </is>
      </c>
      <c r="H74" s="3" t="inlineStr">
        <is>
          <t>Transaction processed correctly in accordance with Tier 3 rules. Remaining limit calculated accurately.</t>
        </is>
      </c>
      <c r="I74" s="2" t="inlineStr">
        <is>
          <t>High</t>
        </is>
      </c>
      <c r="J74" s="3" t="inlineStr">
        <is>
          <t>Functional, Regression</t>
        </is>
      </c>
    </row>
    <row r="75" ht="45" customHeight="1">
      <c r="A75" s="4" t="inlineStr">
        <is>
          <t>PFR-116</t>
        </is>
      </c>
      <c r="B75" s="4" t="inlineStr">
        <is>
          <t>Req 3: Tier 1 Standard Matrix</t>
        </is>
      </c>
      <c r="C75" s="5" t="inlineStr">
        <is>
          <t>Pending &amp; Reversals</t>
        </is>
      </c>
      <c r="D75" s="5" t="inlineStr">
        <is>
          <t>Systematic BVA Matrix: Tier 1 transfer sequence validation #17</t>
        </is>
      </c>
      <c r="E75" s="5" t="inlineStr">
        <is>
          <t>Tier 1 active user, verified KYC status</t>
        </is>
      </c>
      <c r="F75" s="5" t="inlineStr">
        <is>
          <t>Transfer Amount = 17000.00</t>
        </is>
      </c>
      <c r="G75" s="5" t="inlineStr">
        <is>
          <t>1. Check initial remaining limit.
2. Submit transfer of amount.
3. Verify response and remaining limit deduction.</t>
        </is>
      </c>
      <c r="H75" s="5" t="inlineStr">
        <is>
          <t>Transaction processed correctly in accordance with Tier 1 rules. Remaining limit calculated accurately.</t>
        </is>
      </c>
      <c r="I75" s="4" t="inlineStr">
        <is>
          <t>Medium</t>
        </is>
      </c>
      <c r="J75" s="5" t="inlineStr">
        <is>
          <t>Functional, Regression</t>
        </is>
      </c>
    </row>
    <row r="76" ht="45" customHeight="1">
      <c r="A76" s="2" t="inlineStr">
        <is>
          <t>PFR-117</t>
        </is>
      </c>
      <c r="B76" s="2" t="inlineStr">
        <is>
          <t>Req 3: Tier 2 Standard Matrix</t>
        </is>
      </c>
      <c r="C76" s="3" t="inlineStr">
        <is>
          <t>Pending &amp; Reversals</t>
        </is>
      </c>
      <c r="D76" s="3" t="inlineStr">
        <is>
          <t>Systematic BVA Matrix: Tier 2 transfer sequence validation #18</t>
        </is>
      </c>
      <c r="E76" s="3" t="inlineStr">
        <is>
          <t>Tier 2 active user, verified KYC status</t>
        </is>
      </c>
      <c r="F76" s="3" t="inlineStr">
        <is>
          <t>Transfer Amount = 18000.00</t>
        </is>
      </c>
      <c r="G76" s="3" t="inlineStr">
        <is>
          <t>1. Check initial remaining limit.
2. Submit transfer of amount.
3. Verify response and remaining limit deduction.</t>
        </is>
      </c>
      <c r="H76" s="3" t="inlineStr">
        <is>
          <t>Transaction processed correctly in accordance with Tier 2 rules. Remaining limit calculated accurately.</t>
        </is>
      </c>
      <c r="I76" s="2" t="inlineStr">
        <is>
          <t>High</t>
        </is>
      </c>
      <c r="J76" s="3" t="inlineStr">
        <is>
          <t>Functional, Regression</t>
        </is>
      </c>
    </row>
    <row r="77" ht="45" customHeight="1">
      <c r="A77" s="4" t="inlineStr">
        <is>
          <t>PFR-118</t>
        </is>
      </c>
      <c r="B77" s="4" t="inlineStr">
        <is>
          <t>Req 3: Tier 3 Standard Matrix</t>
        </is>
      </c>
      <c r="C77" s="5" t="inlineStr">
        <is>
          <t>Pending &amp; Reversals</t>
        </is>
      </c>
      <c r="D77" s="5" t="inlineStr">
        <is>
          <t>Systematic BVA Matrix: Tier 3 transfer sequence validation #19</t>
        </is>
      </c>
      <c r="E77" s="5" t="inlineStr">
        <is>
          <t>Tier 3 active user, verified KYC status</t>
        </is>
      </c>
      <c r="F77" s="5" t="inlineStr">
        <is>
          <t>Transfer Amount = 19000.00</t>
        </is>
      </c>
      <c r="G77" s="5" t="inlineStr">
        <is>
          <t>1. Check initial remaining limit.
2. Submit transfer of amount.
3. Verify response and remaining limit deduction.</t>
        </is>
      </c>
      <c r="H77" s="5" t="inlineStr">
        <is>
          <t>Transaction processed correctly in accordance with Tier 3 rules. Remaining limit calculated accurately.</t>
        </is>
      </c>
      <c r="I77" s="4" t="inlineStr">
        <is>
          <t>Medium</t>
        </is>
      </c>
      <c r="J77" s="5" t="inlineStr">
        <is>
          <t>Functional, Regression</t>
        </is>
      </c>
    </row>
  </sheetData>
  <autoFilter ref="A1:J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15" customWidth="1" min="3" max="3"/>
    <col width="5" customWidth="1" min="4" max="4"/>
    <col width="28" customWidth="1" min="5" max="5"/>
    <col width="15" customWidth="1" min="6" max="6"/>
    <col width="15" customWidth="1" min="7" max="7"/>
  </cols>
  <sheetData>
    <row r="1">
      <c r="A1" s="6" t="inlineStr">
        <is>
          <t>QA TEST SUITE EXECUTIVE DASHBOARD &amp; MATRIX</t>
        </is>
      </c>
    </row>
    <row r="2"/>
    <row r="4">
      <c r="A4" s="7" t="inlineStr">
        <is>
          <t>Project / Feature:</t>
        </is>
      </c>
      <c r="B4" t="inlineStr">
        <is>
          <t>Digital Wallet &amp; Payment Transfer Engine (Multi-Tier KYC Limits)</t>
        </is>
      </c>
    </row>
    <row r="5">
      <c r="A5" s="7" t="inlineStr">
        <is>
          <t>Target Coverage:</t>
        </is>
      </c>
      <c r="B5" t="inlineStr">
        <is>
          <t>100% Functional, Boundary, Exception &amp; Business Rules</t>
        </is>
      </c>
    </row>
    <row r="6">
      <c r="A6" s="7" t="inlineStr">
        <is>
          <t>Total Executable Test Cases:</t>
        </is>
      </c>
      <c r="B6" s="8">
        <f>COUNTA('Test Cases'!A2:A77)</f>
        <v/>
      </c>
    </row>
    <row r="9">
      <c r="A9" s="9" t="inlineStr">
        <is>
          <t>Test Case Distribution by Priority</t>
        </is>
      </c>
      <c r="E9" s="9" t="inlineStr">
        <is>
          <t>Test Case Distribution by Module</t>
        </is>
      </c>
    </row>
    <row r="10">
      <c r="A10" s="10" t="inlineStr">
        <is>
          <t>Priority Level</t>
        </is>
      </c>
      <c r="B10" s="10" t="inlineStr">
        <is>
          <t>Count</t>
        </is>
      </c>
      <c r="C10" s="10" t="inlineStr">
        <is>
          <t>% of Total</t>
        </is>
      </c>
      <c r="E10" s="10" t="inlineStr">
        <is>
          <t>Module Area</t>
        </is>
      </c>
      <c r="F10" s="10" t="inlineStr">
        <is>
          <t>Count</t>
        </is>
      </c>
      <c r="G10" s="10" t="inlineStr">
        <is>
          <t>% of Total</t>
        </is>
      </c>
    </row>
    <row r="11">
      <c r="A11" s="11" t="inlineStr">
        <is>
          <t>Critical</t>
        </is>
      </c>
      <c r="B11" s="12">
        <f>COUNTIF('Test Cases'!I2:I77, "Critical")</f>
        <v/>
      </c>
      <c r="C11" s="13">
        <f>B11/B6</f>
        <v/>
      </c>
      <c r="E11" s="11" t="inlineStr">
        <is>
          <t>Tier 1 Limits</t>
        </is>
      </c>
      <c r="F11" s="12">
        <f>COUNTIF('Test Cases'!C2:C77, "Tier 1 Limits")</f>
        <v/>
      </c>
      <c r="G11" s="13">
        <f>F11/B6</f>
        <v/>
      </c>
    </row>
    <row r="12">
      <c r="A12" s="11" t="inlineStr">
        <is>
          <t>High</t>
        </is>
      </c>
      <c r="B12" s="12">
        <f>COUNTIF('Test Cases'!I2:I77, "High")</f>
        <v/>
      </c>
      <c r="C12" s="13">
        <f>B12/B6</f>
        <v/>
      </c>
      <c r="E12" s="11" t="inlineStr">
        <is>
          <t>Tier 2 Limits</t>
        </is>
      </c>
      <c r="F12" s="12">
        <f>COUNTIF('Test Cases'!C2:C77, "Tier 2 Limits")</f>
        <v/>
      </c>
      <c r="G12" s="13">
        <f>F12/B6</f>
        <v/>
      </c>
    </row>
    <row r="13">
      <c r="A13" s="11" t="inlineStr">
        <is>
          <t>Medium</t>
        </is>
      </c>
      <c r="B13" s="12">
        <f>COUNTIF('Test Cases'!I2:I77, "Medium")</f>
        <v/>
      </c>
      <c r="C13" s="13">
        <f>B13/B6</f>
        <v/>
      </c>
      <c r="E13" s="11" t="inlineStr">
        <is>
          <t>Tier 3 Limits</t>
        </is>
      </c>
      <c r="F13" s="12">
        <f>COUNTIF('Test Cases'!C2:C77, "Tier 3 Limits")</f>
        <v/>
      </c>
      <c r="G13" s="13">
        <f>F13/B6</f>
        <v/>
      </c>
    </row>
    <row r="14">
      <c r="A14" s="11" t="inlineStr">
        <is>
          <t>Low</t>
        </is>
      </c>
      <c r="B14" s="12">
        <f>COUNTIF('Test Cases'!I2:I77, "Low")</f>
        <v/>
      </c>
      <c r="C14" s="13">
        <f>B14/B6</f>
        <v/>
      </c>
      <c r="E14" s="11" t="inlineStr">
        <is>
          <t>Daily Limit Reset</t>
        </is>
      </c>
      <c r="F14" s="12">
        <f>COUNTIF('Test Cases'!C2:C77, "Daily Limit Reset")</f>
        <v/>
      </c>
      <c r="G14" s="13">
        <f>F14/B6</f>
        <v/>
      </c>
    </row>
    <row r="15">
      <c r="E15" s="11" t="inlineStr">
        <is>
          <t>Pending &amp; Reversals</t>
        </is>
      </c>
      <c r="F15" s="12">
        <f>COUNTIF('Test Cases'!C2:C77, "Pending &amp; Reversals")</f>
        <v/>
      </c>
      <c r="G15" s="13">
        <f>F15/B6</f>
        <v/>
      </c>
    </row>
    <row r="16">
      <c r="E16" s="11" t="inlineStr">
        <is>
          <t>Own Bank Account</t>
        </is>
      </c>
      <c r="F16" s="12">
        <f>COUNTIF('Test Cases'!C2:C77, "Own Bank Account")</f>
        <v/>
      </c>
      <c r="G16" s="13">
        <f>F16/B6</f>
        <v/>
      </c>
    </row>
    <row r="17">
      <c r="E17" s="11" t="inlineStr">
        <is>
          <t>Scheduled Transfers</t>
        </is>
      </c>
      <c r="F17" s="12">
        <f>COUNTIF('Test Cases'!C2:C77, "Scheduled Transfers")</f>
        <v/>
      </c>
      <c r="G17" s="13">
        <f>F17/B6</f>
        <v/>
      </c>
    </row>
    <row r="18">
      <c r="E18" s="11" t="inlineStr">
        <is>
          <t>KYC Upgrade</t>
        </is>
      </c>
      <c r="F18" s="12">
        <f>COUNTIF('Test Cases'!C2:C77, "KYC Upgrade")</f>
        <v/>
      </c>
      <c r="G18" s="13">
        <f>F18/B6</f>
        <v/>
      </c>
    </row>
    <row r="19">
      <c r="E19" s="11" t="inlineStr">
        <is>
          <t>Error Handling</t>
        </is>
      </c>
      <c r="F19" s="12">
        <f>COUNTIF('Test Cases'!C2:C77, "Error Handling")</f>
        <v/>
      </c>
      <c r="G19" s="13">
        <f>F19/B6</f>
        <v/>
      </c>
    </row>
    <row r="20">
      <c r="E20" s="11" t="inlineStr">
        <is>
          <t>State Machine</t>
        </is>
      </c>
      <c r="F20" s="12">
        <f>COUNTIF('Test Cases'!C2:C77, "State Machine")</f>
        <v/>
      </c>
      <c r="G20" s="13">
        <f>F20/B6</f>
        <v/>
      </c>
    </row>
    <row r="21">
      <c r="E21" s="11" t="inlineStr">
        <is>
          <t>Edge Cases</t>
        </is>
      </c>
      <c r="F21" s="12">
        <f>COUNTIF('Test Cases'!C2:C77, "Edge Cases")</f>
        <v/>
      </c>
      <c r="G21" s="13">
        <f>F21/B6</f>
        <v/>
      </c>
    </row>
    <row r="22">
      <c r="E22" s="11" t="inlineStr">
        <is>
          <t>Non-Functional</t>
        </is>
      </c>
      <c r="F22" s="12">
        <f>COUNTIF('Test Cases'!C2:C77, "Non-Functional")</f>
        <v/>
      </c>
      <c r="G22" s="13">
        <f>F22/B6</f>
        <v/>
      </c>
    </row>
  </sheetData>
  <mergeCells count="3">
    <mergeCell ref="A9:C9"/>
    <mergeCell ref="E9:G9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2026-08-03T10:55:00Z</dcterms:created>
  <dcterms:modified xmlns:dcterms="http://purl.org/dc/terms/" xmlns:xsi="http://www.w3.org/2001/XMLSchema-instance" xsi:type="dcterms:W3CDTF">2026-08-03T10:55:00Z</dcterms:modified>
</cp:coreProperties>
</file>